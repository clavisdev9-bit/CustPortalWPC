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etunjuk" sheetId="1" state="visible" r:id="rId1"/>
    <sheet xmlns:r="http://schemas.openxmlformats.org/officeDocument/2006/relationships" name="01_Parameter" sheetId="2" state="visible" r:id="rId2"/>
    <sheet xmlns:r="http://schemas.openxmlformats.org/officeDocument/2006/relationships" name="02_Partner" sheetId="3" state="visible" r:id="rId3"/>
    <sheet xmlns:r="http://schemas.openxmlformats.org/officeDocument/2006/relationships" name="03_Equipment_Unit" sheetId="4" state="visible" r:id="rId4"/>
    <sheet xmlns:r="http://schemas.openxmlformats.org/officeDocument/2006/relationships" name="04_Komponen_L2_L3" sheetId="5" state="visible" r:id="rId5"/>
    <sheet xmlns:r="http://schemas.openxmlformats.org/officeDocument/2006/relationships" name="05_Katalog_Servis" sheetId="6" state="visible" r:id="rId6"/>
    <sheet xmlns:r="http://schemas.openxmlformats.org/officeDocument/2006/relationships" name="06_Riwayat_Beli_Part" sheetId="7" state="visible" r:id="rId7"/>
    <sheet xmlns:r="http://schemas.openxmlformats.org/officeDocument/2006/relationships" name="07_Rekomendasi" sheetId="8" state="visible" r:id="rId8"/>
    <sheet xmlns:r="http://schemas.openxmlformats.org/officeDocument/2006/relationships" name="08_Kamus_Data" sheetId="9" state="visible" r:id="rId9"/>
    <sheet xmlns:r="http://schemas.openxmlformats.org/officeDocument/2006/relationships" name="09_Metrik_Kualitas_Data" sheetId="10" state="visible" r:id="rId10"/>
    <sheet xmlns:r="http://schemas.openxmlformats.org/officeDocument/2006/relationships" name="10_Template_Import_Equipment" sheetId="11" state="visible" r:id="rId11"/>
    <sheet xmlns:r="http://schemas.openxmlformats.org/officeDocument/2006/relationships" name="11_Template_Import_Katalog" sheetId="12" state="visible" r:id="rId12"/>
  </sheets>
  <definedNames>
    <definedName name="_xlnm._FilterDatabase" localSheetId="2" hidden="1">'02_Partner'!$A$4:$F$10</definedName>
    <definedName name="_xlnm._FilterDatabase" localSheetId="3" hidden="1">'03_Equipment_Unit'!$A$4:$Q$20</definedName>
    <definedName name="_xlnm._FilterDatabase" localSheetId="4" hidden="1">'04_Komponen_L2_L3'!$A$4:$H$13</definedName>
    <definedName name="_xlnm._FilterDatabase" localSheetId="5" hidden="1">'05_Katalog_Servis'!$A$4:$J$14</definedName>
    <definedName name="_xlnm._FilterDatabase" localSheetId="6" hidden="1">'06_Riwayat_Beli_Part'!$A$4:$J$17</definedName>
    <definedName name="_xlnm._FilterDatabase" localSheetId="7" hidden="1">'07_Rekomendasi'!$A$4:$T$46</definedName>
    <definedName name="_xlnm._FilterDatabase" localSheetId="8" hidden="1">'08_Kamus_Data'!$A$4:$H$22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-mmm-yyyy"/>
    <numFmt numFmtId="166" formatCode="#,##0;;&quot;-&quot;"/>
    <numFmt numFmtId="167" formatCode="dd-mmm-yyyy;;&quot;belum pernah&quot;"/>
    <numFmt numFmtId="168" formatCode="dd-mmm-yyyy;;&quot;tidak ada&quot;"/>
    <numFmt numFmtId="169" formatCode="#,##0;;&quot;—&quot;"/>
    <numFmt numFmtId="170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C00000"/>
      <sz val="11"/>
    </font>
    <font>
      <name val="Arial"/>
      <color rgb="00C00000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595959"/>
      <sz val="9"/>
    </font>
    <font>
      <name val="Arial"/>
      <b val="1"/>
      <color rgb="007F6000"/>
      <sz val="9"/>
    </font>
    <font>
      <name val="Arial"/>
      <i val="1"/>
      <color rgb="00595959"/>
      <sz val="9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2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5" fontId="7" fillId="2" borderId="1" pivotButton="0" quotePrefix="0" xfId="0"/>
    <xf numFmtId="0" fontId="6" fillId="0" borderId="1" pivotButton="0" quotePrefix="0" xfId="0"/>
    <xf numFmtId="3" fontId="7" fillId="2" borderId="1" pivotButton="0" quotePrefix="0" xfId="0"/>
    <xf numFmtId="0" fontId="11" fillId="4" borderId="0" pivotButton="0" quotePrefix="0" xfId="0"/>
    <xf numFmtId="0" fontId="0" fillId="4" borderId="0" pivotButton="0" quotePrefix="0" xfId="0"/>
    <xf numFmtId="0" fontId="12" fillId="4" borderId="0" pivotButton="0" quotePrefix="0" xfId="0"/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3" fontId="6" fillId="0" borderId="1" pivotButton="0" quotePrefix="0" xfId="0"/>
    <xf numFmtId="0" fontId="8" fillId="0" borderId="1" pivotButton="0" quotePrefix="0" xfId="0"/>
    <xf numFmtId="3" fontId="8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5" fontId="6" fillId="0" borderId="1" applyAlignment="1" pivotButton="0" quotePrefix="0" xfId="0">
      <alignment vertical="center"/>
    </xf>
    <xf numFmtId="166" fontId="6" fillId="0" borderId="1" applyAlignment="1" pivotButton="0" quotePrefix="0" xfId="0">
      <alignment vertical="center"/>
    </xf>
    <xf numFmtId="3" fontId="6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3" fontId="8" fillId="0" borderId="1" applyAlignment="1" pivotButton="0" quotePrefix="0" xfId="0">
      <alignment vertical="center"/>
    </xf>
    <xf numFmtId="167" fontId="8" fillId="0" borderId="1" applyAlignment="1" pivotButton="0" quotePrefix="0" xfId="0">
      <alignment vertical="center"/>
    </xf>
    <xf numFmtId="168" fontId="8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169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0" fillId="0" borderId="1" pivotButton="0" quotePrefix="0" xfId="0"/>
    <xf numFmtId="170" fontId="8" fillId="0" borderId="1" pivotButton="0" quotePrefix="0" xfId="0"/>
    <xf numFmtId="170" fontId="7" fillId="2" borderId="1" pivotButton="0" quotePrefix="0" xfId="0"/>
    <xf numFmtId="0" fontId="13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dxfs count="5"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9C6500"/>
        <sz val="10"/>
      </font>
      <fill>
        <patternFill patternType="solid">
          <fgColor rgb="00FFEB9C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65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BA</author>
  </authors>
  <commentList>
    <comment ref="B5" authorId="0" shapeId="0">
      <text>
        <t>Asumsi: tanggal perhitungan dokumen CR (30 Agustus 2026). Sumber: pengguna.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Customer Population - Data Contoh</t>
        </is>
      </c>
    </row>
    <row r="2">
      <c r="A2" s="2" t="inlineStr">
        <is>
          <t>Companion untuk Docs/CR/customer_population_installed_base.md - dibuat 30 Agustus 2026</t>
        </is>
      </c>
    </row>
    <row r="4">
      <c r="A4" s="3" t="inlineStr">
        <is>
          <t>PERINGATAN</t>
        </is>
      </c>
      <c r="B4" s="4" t="inlineStr">
        <is>
          <t>Seluruh isi workbook ini adalah DATA FIKTIF yang dibuat untuk memperagakan rancangan. Nama perusahaan, serial, dan harga tidak merujuk entitas nyata mana pun.</t>
        </is>
      </c>
    </row>
    <row r="6">
      <c r="A6" s="5" t="inlineStr">
        <is>
          <t>Tujuan</t>
        </is>
      </c>
      <c r="B6" s="6" t="inlineStr">
        <is>
          <t>Menunjukkan secara konkret bentuk data Customer Population, dan membuktikan bahwa mesin rekomendasi upsell (CR §9) benar-benar dapat dihitung dari data yang ada.</t>
        </is>
      </c>
    </row>
    <row r="8">
      <c r="A8" s="5" t="inlineStr">
        <is>
          <t>Yang perlu diperhatikan</t>
        </is>
      </c>
    </row>
    <row r="9" ht="26" customHeight="1">
      <c r="A9" s="7" t="inlineStr">
        <is>
          <t>-</t>
        </is>
      </c>
      <c r="B9" s="6" t="inlineStr">
        <is>
          <t>Sheet 07_Rekomendasi berisi FORMULA, bukan angka mati. Ubah interval di 05_Katalog_Servis atau tanggal di 01_Parameter, seluruh hasil ikut berubah.</t>
        </is>
      </c>
    </row>
    <row r="10" ht="26" customHeight="1">
      <c r="A10" s="7" t="inlineStr">
        <is>
          <t>-</t>
        </is>
      </c>
      <c r="B10" s="6" t="inlineStr">
        <is>
          <t>Sheet 07 kolom 'attribution' memperagakan D-5: pelanggan dengan 4 unit identik mendapat 'fleet_estimated', bukan tebakan per unit.</t>
        </is>
      </c>
    </row>
    <row r="11" ht="26" customHeight="1">
      <c r="A11" s="7" t="inlineStr">
        <is>
          <t>-</t>
        </is>
      </c>
      <c r="B11" s="6" t="inlineStr">
        <is>
          <t>Sheet 02 + 03 memperagakan D-4: seluruh mesin Ayu Sentosa dimiliki partner ANAK (1002/1003), sedangkan portal user ter-map ke induk (1001).</t>
        </is>
      </c>
    </row>
    <row r="12" ht="26" customHeight="1">
      <c r="A12" s="7" t="inlineStr">
        <is>
          <t>-</t>
        </is>
      </c>
      <c r="B12" s="6" t="inlineStr">
        <is>
          <t>Unit 414 sengaja tanpa serial dan tanpa tanggal pasang -- memperagakan kasus kualitas data yang nyata.</t>
        </is>
      </c>
    </row>
    <row r="13" ht="26" customHeight="1">
      <c r="A13" s="7" t="inlineStr">
        <is>
          <t>-</t>
        </is>
      </c>
      <c r="B13" s="6" t="inlineStr">
        <is>
          <t>Part 1425 (Refrigerant) sengaja tanpa interval -- memperagakan §9.3 'interval kosong, lewati diam-diam'.</t>
        </is>
      </c>
    </row>
    <row r="14" ht="26" customHeight="1">
      <c r="A14" s="7" t="inlineStr">
        <is>
          <t>-</t>
        </is>
      </c>
      <c r="B14" s="6" t="inlineStr">
        <is>
          <t>Model 898 (Vacuum Pump) sengaja tanpa katalog servis -- membuat cakupan katalog di sheet 09 tidak 100%.</t>
        </is>
      </c>
    </row>
    <row r="16">
      <c r="A16" s="5" t="inlineStr">
        <is>
          <t>Legenda warna</t>
        </is>
      </c>
    </row>
    <row r="17">
      <c r="A17" s="8" t="inlineStr">
        <is>
          <t>Teks biru</t>
        </is>
      </c>
      <c r="B17" s="7" t="inlineStr">
        <is>
          <t>Nilai input -- diisi/diubah manual.</t>
        </is>
      </c>
    </row>
    <row r="18">
      <c r="A18" s="9" t="inlineStr">
        <is>
          <t>Teks hitam</t>
        </is>
      </c>
      <c r="B18" s="7" t="inlineStr">
        <is>
          <t>Hasil formula -- jangan diketik ulang.</t>
        </is>
      </c>
    </row>
    <row r="19">
      <c r="A19" s="10" t="inlineStr">
        <is>
          <t>Latar kuning</t>
        </is>
      </c>
      <c r="B19" s="7" t="inlineStr">
        <is>
          <t>Sel parameter yang dimaksudkan untuk diubah pengguna.</t>
        </is>
      </c>
    </row>
    <row r="21">
      <c r="A21" s="5" t="inlineStr">
        <is>
          <t>Daftar sheet</t>
        </is>
      </c>
    </row>
    <row r="22">
      <c r="A22" s="5" t="inlineStr">
        <is>
          <t>01_Parameter</t>
        </is>
      </c>
      <c r="B22" s="7" t="inlineStr">
        <is>
          <t>Tanggal perhitungan &amp; ambang 'due soon'. Dua sel ini menggerakkan seluruh sheet 07.</t>
        </is>
      </c>
    </row>
    <row r="23">
      <c r="A23" s="5" t="inlineStr">
        <is>
          <t>02_Partner</t>
        </is>
      </c>
      <c r="B23" s="7" t="inlineStr">
        <is>
          <t>Hierarki partner Odoo -- dasar aturan scoping keluarga (D-4).</t>
        </is>
      </c>
    </row>
    <row r="24">
      <c r="A24" s="5" t="inlineStr">
        <is>
          <t>03_Equipment_Unit</t>
        </is>
      </c>
      <c r="B24" s="7" t="inlineStr">
        <is>
          <t>Registry L1: mesin milik pelanggan. Inti Customer Population.</t>
        </is>
      </c>
    </row>
    <row r="25">
      <c r="A25" s="5" t="inlineStr">
        <is>
          <t>04_Komponen_L2_L3</t>
        </is>
      </c>
      <c r="B25" s="7" t="inlineStr">
        <is>
          <t>Pohon komponen as-built untuk 2 unit contoh.</t>
        </is>
      </c>
    </row>
    <row r="26">
      <c r="A26" s="5" t="inlineStr">
        <is>
          <t>05_Katalog_Servis</t>
        </is>
      </c>
      <c r="B26" s="7" t="inlineStr">
        <is>
          <t>MASTER DATA: interval, kompatibilitas, jalur upgrade. Tanpa ini tidak ada rekomendasi.</t>
        </is>
      </c>
    </row>
    <row r="27">
      <c r="A27" s="5" t="inlineStr">
        <is>
          <t>06_Riwayat_Beli_Part</t>
        </is>
      </c>
      <c r="B27" s="7" t="inlineStr">
        <is>
          <t>sale.order.line untuk sparepart -- sudah tersedia di sistem hari ini.</t>
        </is>
      </c>
    </row>
    <row r="28">
      <c r="A28" s="5" t="inlineStr">
        <is>
          <t>07_Rekomendasi</t>
        </is>
      </c>
      <c r="B28" s="7" t="inlineStr">
        <is>
          <t>OUTPUT mesin §9. Seluruh kolom turunan adalah formula.</t>
        </is>
      </c>
    </row>
    <row r="29">
      <c r="A29" s="5" t="inlineStr">
        <is>
          <t>08_Kamus_Data</t>
        </is>
      </c>
      <c r="B29" s="7" t="inlineStr">
        <is>
          <t>Istilah client -&gt; field Odoo -&gt; field API. Cikal bakal Data Dictionary (dok #6).</t>
        </is>
      </c>
    </row>
    <row r="30">
      <c r="A30" s="5" t="inlineStr">
        <is>
          <t>09_Metrik_Kualitas_Data</t>
        </is>
      </c>
      <c r="B30" s="7" t="inlineStr">
        <is>
          <t>Metrik §19 dihitung dari sheet lain, lengkap dengan ambang batasnya.</t>
        </is>
      </c>
    </row>
    <row r="31">
      <c r="A31" s="5" t="inlineStr">
        <is>
          <t>10_Template_Import_Equipment</t>
        </is>
      </c>
      <c r="B31" s="7" t="inlineStr">
        <is>
          <t>Template kosong untuk entri/import manual unit.</t>
        </is>
      </c>
    </row>
    <row r="32">
      <c r="A32" s="5" t="inlineStr">
        <is>
          <t>11_Template_Import_Katalog</t>
        </is>
      </c>
      <c r="B32" s="7" t="inlineStr">
        <is>
          <t>Template kosong untuk import katalog servis.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78" customWidth="1" min="3" max="3"/>
  </cols>
  <sheetData>
    <row r="1">
      <c r="A1" s="1" t="inlineStr">
        <is>
          <t>Parameter Perhitungan</t>
        </is>
      </c>
    </row>
    <row r="2">
      <c r="A2" s="2" t="inlineStr">
        <is>
          <t>Dua sel kuning di bawah menggerakkan seluruh kolom turunan di sheet 07_Rekomendasi.</t>
        </is>
      </c>
    </row>
    <row r="4" ht="30" customHeight="1">
      <c r="A4" s="11" t="inlineStr">
        <is>
          <t>Parameter</t>
        </is>
      </c>
      <c r="B4" s="11" t="inlineStr">
        <is>
          <t>Nilai</t>
        </is>
      </c>
      <c r="C4" s="11" t="inlineStr">
        <is>
          <t>Keterangan</t>
        </is>
      </c>
    </row>
    <row r="5">
      <c r="A5" s="12" t="inlineStr">
        <is>
          <t>Tanggal perhitungan</t>
        </is>
      </c>
      <c r="B5" s="13" t="n">
        <v>46264</v>
      </c>
      <c r="C5" s="14" t="inlineStr">
        <is>
          <t>Acuan 'hari ini'. Di sistem nyata ini adalah tanggal server, bukan sel.</t>
        </is>
      </c>
    </row>
    <row r="6">
      <c r="A6" s="12" t="inlineStr">
        <is>
          <t>Ambang 'due soon' (hari)</t>
        </is>
      </c>
      <c r="B6" s="15" t="n">
        <v>60</v>
      </c>
      <c r="C6" s="14" t="inlineStr">
        <is>
          <t>Jatuh tempo dalam N hari ke depan ditandai due_soon (CR §9.1).</t>
        </is>
      </c>
    </row>
    <row r="8">
      <c r="A8" s="16" t="inlineStr">
        <is>
          <t>ASUMSI YANG DIPAKAI WORKBOOK INI</t>
        </is>
      </c>
      <c r="B8" s="17" t="n"/>
      <c r="C8" s="17" t="n"/>
    </row>
    <row r="9">
      <c r="A9" s="18" t="inlineStr">
        <is>
          <t>1. Interval penggantian dihitung dari BULAN. Interval berbasis jam operasi ada di katalog tetapi belum dipakai di sheet 07, karena runtime_hours belum terisi pada sebagian unit.</t>
        </is>
      </c>
      <c r="B9" s="17" t="n"/>
      <c r="C9" s="17" t="n"/>
    </row>
    <row r="10">
      <c r="A10" s="18" t="inlineStr">
        <is>
          <t>2. Sebuah part yang merupakan TARGET supersession dan belum pernah dibeli pelanggan dianggap belum terpasang, sehingga tidak menghasilkan baris rekomendasi.</t>
        </is>
      </c>
      <c r="B10" s="17" t="n"/>
      <c r="C10" s="17" t="n"/>
    </row>
    <row r="11">
      <c r="A11" s="18" t="inlineStr">
        <is>
          <t xml:space="preserve">   -&gt; Aturan ini BELUM ada di CR §9.3. Rekomendasi: tambahkan ke CR sebagai kasus tepi ke-7.</t>
        </is>
      </c>
      <c r="B11" s="17" t="n"/>
      <c r="C11" s="17" t="n"/>
    </row>
    <row r="12">
      <c r="A12" s="18" t="inlineStr">
        <is>
          <t>3. Riwayat pembelian diambil di level entitas komersial (commercial_partner_id), bukan per site, sesuai D-4.</t>
        </is>
      </c>
      <c r="B12" s="17" t="n"/>
      <c r="C12" s="1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2" customWidth="1" min="5" max="5"/>
    <col width="62" customWidth="1" min="6" max="6"/>
  </cols>
  <sheetData>
    <row r="1">
      <c r="A1" s="1" t="inlineStr">
        <is>
          <t>Hierarki Partner Odoo</t>
        </is>
      </c>
    </row>
    <row r="2">
      <c r="A2" s="2" t="inlineStr">
        <is>
          <t>Memperagakan D-4: mesin berdiri di partner ANAK, sementara portal user ter-map ke INDUK.</t>
        </is>
      </c>
    </row>
    <row r="4" ht="30" customHeight="1">
      <c r="A4" s="11" t="inlineStr">
        <is>
          <t>partner_id</t>
        </is>
      </c>
      <c r="B4" s="11" t="inlineStr">
        <is>
          <t>Nama</t>
        </is>
      </c>
      <c r="C4" s="11" t="inlineStr">
        <is>
          <t>parent_partner_id</t>
        </is>
      </c>
      <c r="D4" s="11" t="inlineStr">
        <is>
          <t>commercial_partner_id</t>
        </is>
      </c>
      <c r="E4" s="11" t="inlineStr">
        <is>
          <t>Tipe</t>
        </is>
      </c>
      <c r="F4" s="11" t="inlineStr">
        <is>
          <t>Catatan</t>
        </is>
      </c>
    </row>
    <row r="5">
      <c r="A5" s="19" t="n">
        <v>1001</v>
      </c>
      <c r="B5" s="20" t="inlineStr">
        <is>
          <t>PT Ayu Sentosa Sejahtera</t>
        </is>
      </c>
      <c r="C5" s="19" t="n"/>
      <c r="D5" s="19" t="n">
        <v>1001</v>
      </c>
      <c r="E5" s="20" t="inlineStr">
        <is>
          <t>company</t>
        </is>
      </c>
      <c r="F5" s="20" t="inlineStr">
        <is>
          <t>Induk komersial. Portal user ter-map ke SINI.</t>
        </is>
      </c>
    </row>
    <row r="6">
      <c r="A6" s="19" t="n">
        <v>1002</v>
      </c>
      <c r="B6" s="20" t="inlineStr">
        <is>
          <t>Ayu Sentosa - Plant Cikarang</t>
        </is>
      </c>
      <c r="C6" s="19" t="n">
        <v>1001</v>
      </c>
      <c r="D6" s="19" t="n">
        <v>1001</v>
      </c>
      <c r="E6" s="20" t="inlineStr">
        <is>
          <t>delivery</t>
        </is>
      </c>
      <c r="F6" s="20" t="inlineStr">
        <is>
          <t>Mesin fisik berdiri di sini, BUKAN di 1001. Inilah alasan D-4.</t>
        </is>
      </c>
    </row>
    <row r="7">
      <c r="A7" s="19" t="n">
        <v>1003</v>
      </c>
      <c r="B7" s="20" t="inlineStr">
        <is>
          <t>Ayu Sentosa - Plant Karawang</t>
        </is>
      </c>
      <c r="C7" s="19" t="n">
        <v>1001</v>
      </c>
      <c r="D7" s="19" t="n">
        <v>1001</v>
      </c>
      <c r="E7" s="20" t="inlineStr">
        <is>
          <t>delivery</t>
        </is>
      </c>
      <c r="F7" s="20" t="inlineStr">
        <is>
          <t>Idem.</t>
        </is>
      </c>
    </row>
    <row r="8">
      <c r="A8" s="19" t="n">
        <v>2001</v>
      </c>
      <c r="B8" s="20" t="inlineStr">
        <is>
          <t>PT Bina Nusantara Manufaktur</t>
        </is>
      </c>
      <c r="C8" s="19" t="n"/>
      <c r="D8" s="19" t="n">
        <v>2001</v>
      </c>
      <c r="E8" s="20" t="inlineStr">
        <is>
          <t>company</t>
        </is>
      </c>
      <c r="F8" s="20" t="inlineStr">
        <is>
          <t>Induk komersial.</t>
        </is>
      </c>
    </row>
    <row r="9">
      <c r="A9" s="19" t="n">
        <v>2002</v>
      </c>
      <c r="B9" s="20" t="inlineStr">
        <is>
          <t>Bina Nusantara - Pabrik Gresik</t>
        </is>
      </c>
      <c r="C9" s="19" t="n">
        <v>2001</v>
      </c>
      <c r="D9" s="19" t="n">
        <v>2001</v>
      </c>
      <c r="E9" s="20" t="inlineStr">
        <is>
          <t>delivery</t>
        </is>
      </c>
      <c r="F9" s="20" t="inlineStr">
        <is>
          <t>Site pengiriman.</t>
        </is>
      </c>
    </row>
    <row r="10">
      <c r="A10" s="19" t="n">
        <v>3001</v>
      </c>
      <c r="B10" s="20" t="inlineStr">
        <is>
          <t>CV Cahaya Logam Perkasa</t>
        </is>
      </c>
      <c r="C10" s="19" t="n"/>
      <c r="D10" s="19" t="n">
        <v>3001</v>
      </c>
      <c r="E10" s="20" t="inlineStr">
        <is>
          <t>company</t>
        </is>
      </c>
      <c r="F10" s="20" t="inlineStr">
        <is>
          <t>Tanpa partner anak -- pencocokan persis kebetulan berhasil di sini.</t>
        </is>
      </c>
    </row>
    <row r="12">
      <c r="A12" s="16" t="inlineStr">
        <is>
          <t>Kalau scoping memakai partner PERSIS (1001), pelanggan Ayu Sentosa akan melihat NOL mesin -- padahal ia punya 7 unit.</t>
        </is>
      </c>
      <c r="B12" s="17" t="n"/>
      <c r="C12" s="17" t="n"/>
      <c r="D12" s="17" t="n"/>
      <c r="E12" s="17" t="n"/>
      <c r="F12" s="17" t="n"/>
    </row>
    <row r="13">
      <c r="A13" s="18" t="inlineStr">
        <is>
          <t>Inilah kegagalan UAT yang dicegah D-4. Ekspansi keluarga memakai OdooPartnerService.findFamilyIds yang sudah ada di repo.</t>
        </is>
      </c>
      <c r="B13" s="17" t="n"/>
      <c r="C13" s="17" t="n"/>
      <c r="D13" s="17" t="n"/>
      <c r="E13" s="17" t="n"/>
      <c r="F13" s="17" t="n"/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Q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9" customWidth="1" min="3" max="3"/>
    <col width="15" customWidth="1" min="4" max="4"/>
    <col width="30" customWidth="1" min="5" max="5"/>
    <col width="20" customWidth="1" min="6" max="6"/>
    <col width="16" customWidth="1" min="7" max="7"/>
    <col width="17" customWidth="1" min="8" max="8"/>
    <col width="11" customWidth="1" min="9" max="9"/>
    <col width="17" customWidth="1" min="10" max="10"/>
    <col width="13" customWidth="1" min="11" max="11"/>
    <col width="13" customWidth="1" min="12" max="12"/>
    <col width="30" customWidth="1" min="13" max="13"/>
    <col width="16" customWidth="1" min="14" max="14"/>
    <col width="14" customWidth="1" min="15" max="15"/>
    <col width="14" customWidth="1" min="16" max="16"/>
    <col width="15" customWidth="1" min="17" max="17"/>
  </cols>
  <sheetData>
    <row r="1">
      <c r="A1" s="1" t="inlineStr">
        <is>
          <t>Registry Installed Base - Lapis 1 (Unit)</t>
        </is>
      </c>
    </row>
    <row r="2">
      <c r="A2" s="2" t="inlineStr">
        <is>
          <t>Inti 'Customer Population'. Di produksi ini adalah maintenance.equipment di Odoo, bukan tabel portal (D-2 / IB-3).</t>
        </is>
      </c>
    </row>
    <row r="4" ht="30" customHeight="1">
      <c r="A4" s="11" t="inlineStr">
        <is>
          <t>equipment_id</t>
        </is>
      </c>
      <c r="B4" s="11" t="inlineStr">
        <is>
          <t>Nama Unit</t>
        </is>
      </c>
      <c r="C4" s="11" t="inlineStr">
        <is>
          <t>serial_number</t>
        </is>
      </c>
      <c r="D4" s="11" t="inlineStr">
        <is>
          <t>owner_partner_id</t>
        </is>
      </c>
      <c r="E4" s="11" t="inlineStr">
        <is>
          <t>owner_partner_name</t>
        </is>
      </c>
      <c r="F4" s="11" t="inlineStr">
        <is>
          <t>commercial_partner_id</t>
        </is>
      </c>
      <c r="G4" s="11" t="inlineStr">
        <is>
          <t>model_product_id</t>
        </is>
      </c>
      <c r="H4" s="11" t="inlineStr">
        <is>
          <t>model_name</t>
        </is>
      </c>
      <c r="I4" s="11" t="inlineStr">
        <is>
          <t>category_id</t>
        </is>
      </c>
      <c r="J4" s="11" t="inlineStr">
        <is>
          <t>category_name</t>
        </is>
      </c>
      <c r="K4" s="11" t="inlineStr">
        <is>
          <t>install_date</t>
        </is>
      </c>
      <c r="L4" s="11" t="inlineStr">
        <is>
          <t>warranty_end</t>
        </is>
      </c>
      <c r="M4" s="11" t="inlineStr">
        <is>
          <t>location</t>
        </is>
      </c>
      <c r="N4" s="11" t="inlineStr">
        <is>
          <t>status</t>
        </is>
      </c>
      <c r="O4" s="11" t="inlineStr">
        <is>
          <t>runtime_hours</t>
        </is>
      </c>
      <c r="P4" s="11" t="inlineStr">
        <is>
          <t>source_order</t>
        </is>
      </c>
      <c r="Q4" s="11" t="inlineStr">
        <is>
          <t>source_picking</t>
        </is>
      </c>
    </row>
    <row r="5">
      <c r="A5" s="21" t="n">
        <v>401</v>
      </c>
      <c r="B5" s="14" t="inlineStr">
        <is>
          <t>Compressor GA-75 #1</t>
        </is>
      </c>
      <c r="C5" s="14" t="inlineStr">
        <is>
          <t>GA75-2019-0441</t>
        </is>
      </c>
      <c r="D5" s="21" t="n">
        <v>1002</v>
      </c>
      <c r="E5" s="22">
        <f>INDEX('02_Partner'!$B$5:$B$10,MATCH($D5,'02_Partner'!$A$5:$A$10,0))</f>
        <v/>
      </c>
      <c r="F5" s="23">
        <f>INDEX('02_Partner'!$D$5:$D$10,MATCH($D5,'02_Partner'!$A$5:$A$10,0))</f>
        <v/>
      </c>
      <c r="G5" s="21" t="n">
        <v>880</v>
      </c>
      <c r="H5" s="14" t="inlineStr">
        <is>
          <t>Atlas GA-75</t>
        </is>
      </c>
      <c r="I5" s="21" t="n">
        <v>5</v>
      </c>
      <c r="J5" s="14" t="inlineStr">
        <is>
          <t>Air Compressor</t>
        </is>
      </c>
      <c r="K5" s="24" t="n">
        <v>43771</v>
      </c>
      <c r="L5" s="24" t="n">
        <v>44502</v>
      </c>
      <c r="M5" s="14" t="inlineStr">
        <is>
          <t>Plant Cikarang - Utility A</t>
        </is>
      </c>
      <c r="N5" s="14" t="inlineStr">
        <is>
          <t>active</t>
        </is>
      </c>
      <c r="O5" s="25" t="n">
        <v>24800</v>
      </c>
      <c r="P5" s="14" t="inlineStr">
        <is>
          <t>SO2019/0412</t>
        </is>
      </c>
      <c r="Q5" s="14" t="inlineStr">
        <is>
          <t>WH/OUT/00821</t>
        </is>
      </c>
    </row>
    <row r="6">
      <c r="A6" s="21" t="n">
        <v>402</v>
      </c>
      <c r="B6" s="14" t="inlineStr">
        <is>
          <t>Compressor GA-75 #2</t>
        </is>
      </c>
      <c r="C6" s="14" t="inlineStr">
        <is>
          <t>GA75-2019-0442</t>
        </is>
      </c>
      <c r="D6" s="21" t="n">
        <v>1002</v>
      </c>
      <c r="E6" s="22">
        <f>INDEX('02_Partner'!$B$5:$B$10,MATCH($D6,'02_Partner'!$A$5:$A$10,0))</f>
        <v/>
      </c>
      <c r="F6" s="23">
        <f>INDEX('02_Partner'!$D$5:$D$10,MATCH($D6,'02_Partner'!$A$5:$A$10,0))</f>
        <v/>
      </c>
      <c r="G6" s="21" t="n">
        <v>880</v>
      </c>
      <c r="H6" s="14" t="inlineStr">
        <is>
          <t>Atlas GA-75</t>
        </is>
      </c>
      <c r="I6" s="21" t="n">
        <v>5</v>
      </c>
      <c r="J6" s="14" t="inlineStr">
        <is>
          <t>Air Compressor</t>
        </is>
      </c>
      <c r="K6" s="24" t="n">
        <v>43771</v>
      </c>
      <c r="L6" s="24" t="n">
        <v>44502</v>
      </c>
      <c r="M6" s="14" t="inlineStr">
        <is>
          <t>Plant Cikarang - Utility A</t>
        </is>
      </c>
      <c r="N6" s="14" t="inlineStr">
        <is>
          <t>active</t>
        </is>
      </c>
      <c r="O6" s="25" t="n">
        <v>23900</v>
      </c>
      <c r="P6" s="14" t="inlineStr">
        <is>
          <t>SO2019/0412</t>
        </is>
      </c>
      <c r="Q6" s="14" t="inlineStr">
        <is>
          <t>WH/OUT/00821</t>
        </is>
      </c>
    </row>
    <row r="7">
      <c r="A7" s="21" t="n">
        <v>403</v>
      </c>
      <c r="B7" s="14" t="inlineStr">
        <is>
          <t>Compressor GA-75 #3</t>
        </is>
      </c>
      <c r="C7" s="14" t="inlineStr">
        <is>
          <t>GA75-2019-0447</t>
        </is>
      </c>
      <c r="D7" s="21" t="n">
        <v>1002</v>
      </c>
      <c r="E7" s="22">
        <f>INDEX('02_Partner'!$B$5:$B$10,MATCH($D7,'02_Partner'!$A$5:$A$10,0))</f>
        <v/>
      </c>
      <c r="F7" s="23">
        <f>INDEX('02_Partner'!$D$5:$D$10,MATCH($D7,'02_Partner'!$A$5:$A$10,0))</f>
        <v/>
      </c>
      <c r="G7" s="21" t="n">
        <v>880</v>
      </c>
      <c r="H7" s="14" t="inlineStr">
        <is>
          <t>Atlas GA-75</t>
        </is>
      </c>
      <c r="I7" s="21" t="n">
        <v>5</v>
      </c>
      <c r="J7" s="14" t="inlineStr">
        <is>
          <t>Air Compressor</t>
        </is>
      </c>
      <c r="K7" s="24" t="n">
        <v>43771</v>
      </c>
      <c r="L7" s="24" t="n">
        <v>44502</v>
      </c>
      <c r="M7" s="14" t="inlineStr">
        <is>
          <t>Plant Cikarang - Utility B</t>
        </is>
      </c>
      <c r="N7" s="14" t="inlineStr">
        <is>
          <t>active</t>
        </is>
      </c>
      <c r="O7" s="25" t="n">
        <v>21400</v>
      </c>
      <c r="P7" s="14" t="inlineStr">
        <is>
          <t>SO2019/0412</t>
        </is>
      </c>
      <c r="Q7" s="14" t="inlineStr">
        <is>
          <t>WH/OUT/00821</t>
        </is>
      </c>
    </row>
    <row r="8">
      <c r="A8" s="21" t="n">
        <v>404</v>
      </c>
      <c r="B8" s="14" t="inlineStr">
        <is>
          <t>Compressor GA-75 #4</t>
        </is>
      </c>
      <c r="C8" s="14" t="inlineStr">
        <is>
          <t>GA75-2021-0912</t>
        </is>
      </c>
      <c r="D8" s="21" t="n">
        <v>1003</v>
      </c>
      <c r="E8" s="22">
        <f>INDEX('02_Partner'!$B$5:$B$10,MATCH($D8,'02_Partner'!$A$5:$A$10,0))</f>
        <v/>
      </c>
      <c r="F8" s="23">
        <f>INDEX('02_Partner'!$D$5:$D$10,MATCH($D8,'02_Partner'!$A$5:$A$10,0))</f>
        <v/>
      </c>
      <c r="G8" s="21" t="n">
        <v>880</v>
      </c>
      <c r="H8" s="14" t="inlineStr">
        <is>
          <t>Atlas GA-75</t>
        </is>
      </c>
      <c r="I8" s="21" t="n">
        <v>5</v>
      </c>
      <c r="J8" s="14" t="inlineStr">
        <is>
          <t>Air Compressor</t>
        </is>
      </c>
      <c r="K8" s="24" t="n">
        <v>44362</v>
      </c>
      <c r="L8" s="24" t="n">
        <v>45092</v>
      </c>
      <c r="M8" s="14" t="inlineStr">
        <is>
          <t>Plant Karawang - Utility</t>
        </is>
      </c>
      <c r="N8" s="14" t="inlineStr">
        <is>
          <t>active</t>
        </is>
      </c>
      <c r="O8" s="25" t="n">
        <v>12300</v>
      </c>
      <c r="P8" s="14" t="inlineStr">
        <is>
          <t>SO2021/0198</t>
        </is>
      </c>
      <c r="Q8" s="14" t="inlineStr">
        <is>
          <t>WH/OUT/01344</t>
        </is>
      </c>
    </row>
    <row r="9">
      <c r="A9" s="21" t="n">
        <v>405</v>
      </c>
      <c r="B9" s="14" t="inlineStr">
        <is>
          <t>Compressor GA-110 #1</t>
        </is>
      </c>
      <c r="C9" s="14" t="inlineStr">
        <is>
          <t>GA110-2022-0031</t>
        </is>
      </c>
      <c r="D9" s="21" t="n">
        <v>1003</v>
      </c>
      <c r="E9" s="22">
        <f>INDEX('02_Partner'!$B$5:$B$10,MATCH($D9,'02_Partner'!$A$5:$A$10,0))</f>
        <v/>
      </c>
      <c r="F9" s="23">
        <f>INDEX('02_Partner'!$D$5:$D$10,MATCH($D9,'02_Partner'!$A$5:$A$10,0))</f>
        <v/>
      </c>
      <c r="G9" s="21" t="n">
        <v>881</v>
      </c>
      <c r="H9" s="14" t="inlineStr">
        <is>
          <t>Atlas GA-110</t>
        </is>
      </c>
      <c r="I9" s="21" t="n">
        <v>5</v>
      </c>
      <c r="J9" s="14" t="inlineStr">
        <is>
          <t>Air Compressor</t>
        </is>
      </c>
      <c r="K9" s="24" t="n">
        <v>44630</v>
      </c>
      <c r="L9" s="24" t="n">
        <v>45361</v>
      </c>
      <c r="M9" s="14" t="inlineStr">
        <is>
          <t>Plant Karawang - Utility</t>
        </is>
      </c>
      <c r="N9" s="14" t="inlineStr">
        <is>
          <t>active</t>
        </is>
      </c>
      <c r="O9" s="25" t="n">
        <v>9800</v>
      </c>
      <c r="P9" s="14" t="inlineStr">
        <is>
          <t>SO2022/0077</t>
        </is>
      </c>
      <c r="Q9" s="14" t="inlineStr">
        <is>
          <t>WH/OUT/01590</t>
        </is>
      </c>
    </row>
    <row r="10">
      <c r="A10" s="21" t="n">
        <v>406</v>
      </c>
      <c r="B10" s="14" t="inlineStr">
        <is>
          <t>Hydraulic Power Unit #1</t>
        </is>
      </c>
      <c r="C10" s="14" t="inlineStr">
        <is>
          <t>HPU30-2020-0155</t>
        </is>
      </c>
      <c r="D10" s="21" t="n">
        <v>1002</v>
      </c>
      <c r="E10" s="22">
        <f>INDEX('02_Partner'!$B$5:$B$10,MATCH($D10,'02_Partner'!$A$5:$A$10,0))</f>
        <v/>
      </c>
      <c r="F10" s="23">
        <f>INDEX('02_Partner'!$D$5:$D$10,MATCH($D10,'02_Partner'!$A$5:$A$10,0))</f>
        <v/>
      </c>
      <c r="G10" s="21" t="n">
        <v>890</v>
      </c>
      <c r="H10" s="14" t="inlineStr">
        <is>
          <t>HPU-30</t>
        </is>
      </c>
      <c r="I10" s="21" t="n">
        <v>7</v>
      </c>
      <c r="J10" s="14" t="inlineStr">
        <is>
          <t>Hydraulic</t>
        </is>
      </c>
      <c r="K10" s="24" t="n">
        <v>44044</v>
      </c>
      <c r="L10" s="24" t="n">
        <v>44774</v>
      </c>
      <c r="M10" s="14" t="inlineStr">
        <is>
          <t>Plant Cikarang - Line 3</t>
        </is>
      </c>
      <c r="N10" s="14" t="inlineStr">
        <is>
          <t>active</t>
        </is>
      </c>
      <c r="O10" s="25" t="n">
        <v>15600</v>
      </c>
      <c r="P10" s="14" t="inlineStr">
        <is>
          <t>SO2020/0533</t>
        </is>
      </c>
      <c r="Q10" s="14" t="inlineStr">
        <is>
          <t>WH/OUT/01011</t>
        </is>
      </c>
    </row>
    <row r="11">
      <c r="A11" s="21" t="n">
        <v>407</v>
      </c>
      <c r="B11" s="14" t="inlineStr">
        <is>
          <t>Compressor GA-75 #5</t>
        </is>
      </c>
      <c r="C11" s="14" t="inlineStr">
        <is>
          <t>GA75-2018-0210</t>
        </is>
      </c>
      <c r="D11" s="21" t="n">
        <v>1002</v>
      </c>
      <c r="E11" s="22">
        <f>INDEX('02_Partner'!$B$5:$B$10,MATCH($D11,'02_Partner'!$A$5:$A$10,0))</f>
        <v/>
      </c>
      <c r="F11" s="23">
        <f>INDEX('02_Partner'!$D$5:$D$10,MATCH($D11,'02_Partner'!$A$5:$A$10,0))</f>
        <v/>
      </c>
      <c r="G11" s="21" t="n">
        <v>880</v>
      </c>
      <c r="H11" s="14" t="inlineStr">
        <is>
          <t>Atlas GA-75</t>
        </is>
      </c>
      <c r="I11" s="21" t="n">
        <v>5</v>
      </c>
      <c r="J11" s="14" t="inlineStr">
        <is>
          <t>Air Compressor</t>
        </is>
      </c>
      <c r="K11" s="24" t="n">
        <v>43210</v>
      </c>
      <c r="L11" s="24" t="n">
        <v>43941</v>
      </c>
      <c r="M11" s="14" t="inlineStr">
        <is>
          <t>Plant Cikarang - Gudang</t>
        </is>
      </c>
      <c r="N11" s="14" t="inlineStr">
        <is>
          <t>decommissioned</t>
        </is>
      </c>
      <c r="O11" s="25" t="n">
        <v>41200</v>
      </c>
      <c r="P11" s="14" t="inlineStr">
        <is>
          <t>SO2018/0155</t>
        </is>
      </c>
      <c r="Q11" s="14" t="inlineStr">
        <is>
          <t>WH/OUT/00512</t>
        </is>
      </c>
    </row>
    <row r="12">
      <c r="A12" s="21" t="n">
        <v>410</v>
      </c>
      <c r="B12" s="14" t="inlineStr">
        <is>
          <t>Compressor GA-110 #1</t>
        </is>
      </c>
      <c r="C12" s="14" t="inlineStr">
        <is>
          <t>GA110-2023-0077</t>
        </is>
      </c>
      <c r="D12" s="21" t="n">
        <v>2002</v>
      </c>
      <c r="E12" s="22">
        <f>INDEX('02_Partner'!$B$5:$B$10,MATCH($D12,'02_Partner'!$A$5:$A$10,0))</f>
        <v/>
      </c>
      <c r="F12" s="23">
        <f>INDEX('02_Partner'!$D$5:$D$10,MATCH($D12,'02_Partner'!$A$5:$A$10,0))</f>
        <v/>
      </c>
      <c r="G12" s="21" t="n">
        <v>881</v>
      </c>
      <c r="H12" s="14" t="inlineStr">
        <is>
          <t>Atlas GA-110</t>
        </is>
      </c>
      <c r="I12" s="21" t="n">
        <v>5</v>
      </c>
      <c r="J12" s="14" t="inlineStr">
        <is>
          <t>Air Compressor</t>
        </is>
      </c>
      <c r="K12" s="24" t="n">
        <v>45174</v>
      </c>
      <c r="L12" s="24" t="n">
        <v>45905</v>
      </c>
      <c r="M12" s="14" t="inlineStr">
        <is>
          <t>Gresik - Utility</t>
        </is>
      </c>
      <c r="N12" s="14" t="inlineStr">
        <is>
          <t>active</t>
        </is>
      </c>
      <c r="O12" s="25" t="n">
        <v>7200</v>
      </c>
      <c r="P12" s="14" t="inlineStr">
        <is>
          <t>SO2023/0344</t>
        </is>
      </c>
      <c r="Q12" s="14" t="inlineStr">
        <is>
          <t>WH/OUT/02010</t>
        </is>
      </c>
    </row>
    <row r="13">
      <c r="A13" s="21" t="n">
        <v>411</v>
      </c>
      <c r="B13" s="14" t="inlineStr">
        <is>
          <t>Chiller WC-200 #1</t>
        </is>
      </c>
      <c r="C13" s="14" t="inlineStr">
        <is>
          <t>WC200-2022-0044</t>
        </is>
      </c>
      <c r="D13" s="21" t="n">
        <v>2002</v>
      </c>
      <c r="E13" s="22">
        <f>INDEX('02_Partner'!$B$5:$B$10,MATCH($D13,'02_Partner'!$A$5:$A$10,0))</f>
        <v/>
      </c>
      <c r="F13" s="23">
        <f>INDEX('02_Partner'!$D$5:$D$10,MATCH($D13,'02_Partner'!$A$5:$A$10,0))</f>
        <v/>
      </c>
      <c r="G13" s="21" t="n">
        <v>895</v>
      </c>
      <c r="H13" s="14" t="inlineStr">
        <is>
          <t>Chiller WC-200</t>
        </is>
      </c>
      <c r="I13" s="21" t="n">
        <v>9</v>
      </c>
      <c r="J13" s="14" t="inlineStr">
        <is>
          <t>Chiller</t>
        </is>
      </c>
      <c r="K13" s="24" t="n">
        <v>44896</v>
      </c>
      <c r="L13" s="24" t="n">
        <v>45627</v>
      </c>
      <c r="M13" s="14" t="inlineStr">
        <is>
          <t>Gresik - Proses A</t>
        </is>
      </c>
      <c r="N13" s="14" t="inlineStr">
        <is>
          <t>active</t>
        </is>
      </c>
      <c r="O13" s="25" t="n"/>
      <c r="P13" s="14" t="inlineStr">
        <is>
          <t>SO2022/0501</t>
        </is>
      </c>
      <c r="Q13" s="14" t="inlineStr">
        <is>
          <t>WH/OUT/01788</t>
        </is>
      </c>
    </row>
    <row r="14">
      <c r="A14" s="21" t="n">
        <v>412</v>
      </c>
      <c r="B14" s="14" t="inlineStr">
        <is>
          <t>Chiller WC-200 #2</t>
        </is>
      </c>
      <c r="C14" s="14" t="inlineStr">
        <is>
          <t>WC200-2022-0045</t>
        </is>
      </c>
      <c r="D14" s="21" t="n">
        <v>2002</v>
      </c>
      <c r="E14" s="22">
        <f>INDEX('02_Partner'!$B$5:$B$10,MATCH($D14,'02_Partner'!$A$5:$A$10,0))</f>
        <v/>
      </c>
      <c r="F14" s="23">
        <f>INDEX('02_Partner'!$D$5:$D$10,MATCH($D14,'02_Partner'!$A$5:$A$10,0))</f>
        <v/>
      </c>
      <c r="G14" s="21" t="n">
        <v>895</v>
      </c>
      <c r="H14" s="14" t="inlineStr">
        <is>
          <t>Chiller WC-200</t>
        </is>
      </c>
      <c r="I14" s="21" t="n">
        <v>9</v>
      </c>
      <c r="J14" s="14" t="inlineStr">
        <is>
          <t>Chiller</t>
        </is>
      </c>
      <c r="K14" s="24" t="n">
        <v>44896</v>
      </c>
      <c r="L14" s="24" t="n">
        <v>45627</v>
      </c>
      <c r="M14" s="14" t="inlineStr">
        <is>
          <t>Gresik - Proses A</t>
        </is>
      </c>
      <c r="N14" s="14" t="inlineStr">
        <is>
          <t>active</t>
        </is>
      </c>
      <c r="O14" s="25" t="n"/>
      <c r="P14" s="14" t="inlineStr">
        <is>
          <t>SO2022/0501</t>
        </is>
      </c>
      <c r="Q14" s="14" t="inlineStr">
        <is>
          <t>WH/OUT/01788</t>
        </is>
      </c>
    </row>
    <row r="15">
      <c r="A15" s="21" t="n">
        <v>413</v>
      </c>
      <c r="B15" s="14" t="inlineStr">
        <is>
          <t>Hydraulic Power Unit #1</t>
        </is>
      </c>
      <c r="C15" s="14" t="inlineStr">
        <is>
          <t>HPU30-2024-0301</t>
        </is>
      </c>
      <c r="D15" s="21" t="n">
        <v>2002</v>
      </c>
      <c r="E15" s="22">
        <f>INDEX('02_Partner'!$B$5:$B$10,MATCH($D15,'02_Partner'!$A$5:$A$10,0))</f>
        <v/>
      </c>
      <c r="F15" s="23">
        <f>INDEX('02_Partner'!$D$5:$D$10,MATCH($D15,'02_Partner'!$A$5:$A$10,0))</f>
        <v/>
      </c>
      <c r="G15" s="21" t="n">
        <v>890</v>
      </c>
      <c r="H15" s="14" t="inlineStr">
        <is>
          <t>HPU-30</t>
        </is>
      </c>
      <c r="I15" s="21" t="n">
        <v>7</v>
      </c>
      <c r="J15" s="14" t="inlineStr">
        <is>
          <t>Hydraulic</t>
        </is>
      </c>
      <c r="K15" s="24" t="n">
        <v>45336</v>
      </c>
      <c r="L15" s="24" t="n">
        <v>46067</v>
      </c>
      <c r="M15" s="14" t="inlineStr">
        <is>
          <t>Gresik - Line 1</t>
        </is>
      </c>
      <c r="N15" s="14" t="inlineStr">
        <is>
          <t>active</t>
        </is>
      </c>
      <c r="O15" s="25" t="n">
        <v>4100</v>
      </c>
      <c r="P15" s="14" t="inlineStr">
        <is>
          <t>SO2024/0088</t>
        </is>
      </c>
      <c r="Q15" s="14" t="inlineStr">
        <is>
          <t>WH/OUT/02233</t>
        </is>
      </c>
    </row>
    <row r="16">
      <c r="A16" s="21" t="n">
        <v>414</v>
      </c>
      <c r="B16" s="14" t="inlineStr">
        <is>
          <t>Compressor GA-75 (belum terverifikasi)</t>
        </is>
      </c>
      <c r="C16" s="14" t="n"/>
      <c r="D16" s="21" t="n">
        <v>2002</v>
      </c>
      <c r="E16" s="22">
        <f>INDEX('02_Partner'!$B$5:$B$10,MATCH($D16,'02_Partner'!$A$5:$A$10,0))</f>
        <v/>
      </c>
      <c r="F16" s="23">
        <f>INDEX('02_Partner'!$D$5:$D$10,MATCH($D16,'02_Partner'!$A$5:$A$10,0))</f>
        <v/>
      </c>
      <c r="G16" s="21" t="n">
        <v>880</v>
      </c>
      <c r="H16" s="14" t="inlineStr">
        <is>
          <t>Atlas GA-75</t>
        </is>
      </c>
      <c r="I16" s="21" t="n">
        <v>5</v>
      </c>
      <c r="J16" s="14" t="inlineStr">
        <is>
          <t>Air Compressor</t>
        </is>
      </c>
      <c r="K16" s="24" t="n"/>
      <c r="L16" s="24" t="n"/>
      <c r="M16" s="14" t="inlineStr">
        <is>
          <t>Gresik - (belum dipetakan)</t>
        </is>
      </c>
      <c r="N16" s="14" t="inlineStr">
        <is>
          <t>active</t>
        </is>
      </c>
      <c r="O16" s="25" t="n"/>
      <c r="P16" s="14" t="n"/>
      <c r="Q16" s="14" t="n"/>
    </row>
    <row r="17">
      <c r="A17" s="21" t="n">
        <v>420</v>
      </c>
      <c r="B17" s="14" t="inlineStr">
        <is>
          <t>Compressor GA-75 #1</t>
        </is>
      </c>
      <c r="C17" s="14" t="inlineStr">
        <is>
          <t>GA75-2020-0688</t>
        </is>
      </c>
      <c r="D17" s="21" t="n">
        <v>3001</v>
      </c>
      <c r="E17" s="22">
        <f>INDEX('02_Partner'!$B$5:$B$10,MATCH($D17,'02_Partner'!$A$5:$A$10,0))</f>
        <v/>
      </c>
      <c r="F17" s="23">
        <f>INDEX('02_Partner'!$D$5:$D$10,MATCH($D17,'02_Partner'!$A$5:$A$10,0))</f>
        <v/>
      </c>
      <c r="G17" s="21" t="n">
        <v>880</v>
      </c>
      <c r="H17" s="14" t="inlineStr">
        <is>
          <t>Atlas GA-75</t>
        </is>
      </c>
      <c r="I17" s="21" t="n">
        <v>5</v>
      </c>
      <c r="J17" s="14" t="inlineStr">
        <is>
          <t>Air Compressor</t>
        </is>
      </c>
      <c r="K17" s="24" t="n">
        <v>44042</v>
      </c>
      <c r="L17" s="24" t="n">
        <v>44772</v>
      </c>
      <c r="M17" s="14" t="inlineStr">
        <is>
          <t>Workshop Utama</t>
        </is>
      </c>
      <c r="N17" s="14" t="inlineStr">
        <is>
          <t>active</t>
        </is>
      </c>
      <c r="O17" s="25" t="n">
        <v>18200</v>
      </c>
      <c r="P17" s="14" t="inlineStr">
        <is>
          <t>SO2020/0399</t>
        </is>
      </c>
      <c r="Q17" s="14" t="inlineStr">
        <is>
          <t>WH/OUT/00944</t>
        </is>
      </c>
    </row>
    <row r="18">
      <c r="A18" s="21" t="n">
        <v>421</v>
      </c>
      <c r="B18" s="14" t="inlineStr">
        <is>
          <t>Hydraulic Power Unit #1</t>
        </is>
      </c>
      <c r="C18" s="14" t="inlineStr">
        <is>
          <t>HPU30-2019-0099</t>
        </is>
      </c>
      <c r="D18" s="21" t="n">
        <v>3001</v>
      </c>
      <c r="E18" s="22">
        <f>INDEX('02_Partner'!$B$5:$B$10,MATCH($D18,'02_Partner'!$A$5:$A$10,0))</f>
        <v/>
      </c>
      <c r="F18" s="23">
        <f>INDEX('02_Partner'!$D$5:$D$10,MATCH($D18,'02_Partner'!$A$5:$A$10,0))</f>
        <v/>
      </c>
      <c r="G18" s="21" t="n">
        <v>890</v>
      </c>
      <c r="H18" s="14" t="inlineStr">
        <is>
          <t>HPU-30</t>
        </is>
      </c>
      <c r="I18" s="21" t="n">
        <v>7</v>
      </c>
      <c r="J18" s="14" t="inlineStr">
        <is>
          <t>Hydraulic</t>
        </is>
      </c>
      <c r="K18" s="24" t="n">
        <v>43597</v>
      </c>
      <c r="L18" s="24" t="n">
        <v>44328</v>
      </c>
      <c r="M18" s="14" t="inlineStr">
        <is>
          <t>Workshop Utama</t>
        </is>
      </c>
      <c r="N18" s="14" t="inlineStr">
        <is>
          <t>idle</t>
        </is>
      </c>
      <c r="O18" s="25" t="n">
        <v>9100</v>
      </c>
      <c r="P18" s="14" t="inlineStr">
        <is>
          <t>SO2019/0201</t>
        </is>
      </c>
      <c r="Q18" s="14" t="inlineStr">
        <is>
          <t>WH/OUT/00655</t>
        </is>
      </c>
    </row>
    <row r="19">
      <c r="A19" s="21" t="n">
        <v>422</v>
      </c>
      <c r="B19" s="14" t="inlineStr">
        <is>
          <t>Chiller WC-200 #1</t>
        </is>
      </c>
      <c r="C19" s="14" t="inlineStr">
        <is>
          <t>WC200-2025-0120</t>
        </is>
      </c>
      <c r="D19" s="21" t="n">
        <v>3001</v>
      </c>
      <c r="E19" s="22">
        <f>INDEX('02_Partner'!$B$5:$B$10,MATCH($D19,'02_Partner'!$A$5:$A$10,0))</f>
        <v/>
      </c>
      <c r="F19" s="23">
        <f>INDEX('02_Partner'!$D$5:$D$10,MATCH($D19,'02_Partner'!$A$5:$A$10,0))</f>
        <v/>
      </c>
      <c r="G19" s="21" t="n">
        <v>895</v>
      </c>
      <c r="H19" s="14" t="inlineStr">
        <is>
          <t>Chiller WC-200</t>
        </is>
      </c>
      <c r="I19" s="21" t="n">
        <v>9</v>
      </c>
      <c r="J19" s="14" t="inlineStr">
        <is>
          <t>Chiller</t>
        </is>
      </c>
      <c r="K19" s="24" t="n">
        <v>45981</v>
      </c>
      <c r="L19" s="24" t="n">
        <v>46711</v>
      </c>
      <c r="M19" s="14" t="inlineStr">
        <is>
          <t>Workshop Utama</t>
        </is>
      </c>
      <c r="N19" s="14" t="inlineStr">
        <is>
          <t>active</t>
        </is>
      </c>
      <c r="O19" s="25" t="n"/>
      <c r="P19" s="14" t="inlineStr">
        <is>
          <t>SO2025/0710</t>
        </is>
      </c>
      <c r="Q19" s="14" t="inlineStr">
        <is>
          <t>WH/OUT/02901</t>
        </is>
      </c>
    </row>
    <row r="20">
      <c r="A20" s="21" t="n">
        <v>423</v>
      </c>
      <c r="B20" s="14" t="inlineStr">
        <is>
          <t>Vacuum Pump VP-40 #1</t>
        </is>
      </c>
      <c r="C20" s="14" t="inlineStr">
        <is>
          <t>VP40-2023-0210</t>
        </is>
      </c>
      <c r="D20" s="21" t="n">
        <v>3001</v>
      </c>
      <c r="E20" s="22">
        <f>INDEX('02_Partner'!$B$5:$B$10,MATCH($D20,'02_Partner'!$A$5:$A$10,0))</f>
        <v/>
      </c>
      <c r="F20" s="23">
        <f>INDEX('02_Partner'!$D$5:$D$10,MATCH($D20,'02_Partner'!$A$5:$A$10,0))</f>
        <v/>
      </c>
      <c r="G20" s="21" t="n">
        <v>898</v>
      </c>
      <c r="H20" s="14" t="inlineStr">
        <is>
          <t>Vacuum Pump VP-40</t>
        </is>
      </c>
      <c r="I20" s="21" t="n">
        <v>11</v>
      </c>
      <c r="J20" s="14" t="inlineStr">
        <is>
          <t>Vacuum Pump</t>
        </is>
      </c>
      <c r="K20" s="24" t="n">
        <v>45034</v>
      </c>
      <c r="L20" s="24" t="n">
        <v>45765</v>
      </c>
      <c r="M20" s="14" t="inlineStr">
        <is>
          <t>Workshop Utama</t>
        </is>
      </c>
      <c r="N20" s="14" t="inlineStr">
        <is>
          <t>active</t>
        </is>
      </c>
      <c r="O20" s="25" t="n">
        <v>6400</v>
      </c>
      <c r="P20" s="14" t="inlineStr">
        <is>
          <t>SO2023/0155</t>
        </is>
      </c>
      <c r="Q20" s="14" t="inlineStr">
        <is>
          <t>WH/OUT/01955</t>
        </is>
      </c>
    </row>
    <row r="22">
      <c r="A22" s="16" t="inlineStr">
        <is>
          <t>CATATAN KUALITAS DATA (sengaja dibuat tidak sempurna, karena data nyata memang begitu):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</row>
    <row r="23">
      <c r="A23" s="18" t="inlineStr">
        <is>
          <t>Unit 414 tanpa serial dan tanpa install_date -- hasil pengiriman lama tanpa tracking lot. Ia tetap tampil di registry, tetapi hanya menghasilkan rekomendasi untuk part yang pernah dibeli.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</row>
    <row r="24">
      <c r="A24" s="18" t="inlineStr">
        <is>
          <t>Unit 407 decommissioned dan 421 idle -- keduanya TIDAK menghasilkan rekomendasi apa pun (CR §9 langkah 1).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</row>
    <row r="25">
      <c r="A25" s="18" t="inlineStr">
        <is>
          <t>Kolom E dan F adalah formula (hitam): commercial_partner_id diturunkan, bukan diketik.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</row>
  </sheetData>
  <autoFilter ref="A4:Q20"/>
  <conditionalFormatting sqref="N5:N20">
    <cfRule type="cellIs" priority="1" operator="equal" dxfId="0">
      <formula>"decommissioned"</formula>
    </cfRule>
    <cfRule type="cellIs" priority="2" operator="equal" dxfId="1">
      <formula>"idle"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34" customWidth="1" min="4" max="4"/>
    <col width="12" customWidth="1" min="5" max="5"/>
    <col width="32" customWidth="1" min="6" max="6"/>
    <col width="14" customWidth="1" min="7" max="7"/>
    <col width="34" customWidth="1" min="8" max="8"/>
  </cols>
  <sheetData>
    <row r="1">
      <c r="A1" s="1" t="inlineStr">
        <is>
          <t>Pohon Komponen As-Built - Lapis 2 &amp; 3</t>
        </is>
      </c>
    </row>
    <row r="2">
      <c r="A2" s="2" t="inlineStr">
        <is>
          <t>Hanya komponen ber-SKU yang masuk (D-3). Baut dan sub-komponen tanpa SKU sengaja tidak ada di sini.</t>
        </is>
      </c>
    </row>
    <row r="4" ht="30" customHeight="1">
      <c r="A4" s="11" t="inlineStr">
        <is>
          <t>component_id</t>
        </is>
      </c>
      <c r="B4" s="11" t="inlineStr">
        <is>
          <t>parent_id</t>
        </is>
      </c>
      <c r="C4" s="11" t="inlineStr">
        <is>
          <t>Lapis</t>
        </is>
      </c>
      <c r="D4" s="11" t="inlineStr">
        <is>
          <t>Nama Komponen</t>
        </is>
      </c>
      <c r="E4" s="11" t="inlineStr">
        <is>
          <t>product_id</t>
        </is>
      </c>
      <c r="F4" s="11" t="inlineStr">
        <is>
          <t>product_name</t>
        </is>
      </c>
      <c r="G4" s="11" t="inlineStr">
        <is>
          <t>install_date</t>
        </is>
      </c>
      <c r="H4" s="11" t="inlineStr">
        <is>
          <t>Catatan</t>
        </is>
      </c>
    </row>
    <row r="5">
      <c r="A5" s="19" t="n">
        <v>4031</v>
      </c>
      <c r="B5" s="19" t="n">
        <v>403</v>
      </c>
      <c r="C5" s="20" t="inlineStr">
        <is>
          <t>L2</t>
        </is>
      </c>
      <c r="D5" s="20" t="inlineStr">
        <is>
          <t>Airend Module</t>
        </is>
      </c>
      <c r="E5" s="19" t="n">
        <v>2001</v>
      </c>
      <c r="F5" s="20" t="inlineStr">
        <is>
          <t>Airend Assembly GA-75</t>
        </is>
      </c>
      <c r="G5" s="26" t="n">
        <v>43771</v>
      </c>
      <c r="H5" s="20" t="inlineStr"/>
    </row>
    <row r="6">
      <c r="A6" s="19" t="n">
        <v>40311</v>
      </c>
      <c r="B6" s="19" t="n">
        <v>4031</v>
      </c>
      <c r="C6" s="20" t="inlineStr">
        <is>
          <t>L3</t>
        </is>
      </c>
      <c r="D6" s="20" t="inlineStr">
        <is>
          <t>Air Filter Element AF-75</t>
        </is>
      </c>
      <c r="E6" s="19" t="n">
        <v>1180</v>
      </c>
      <c r="F6" s="20" t="inlineStr">
        <is>
          <t>Air Filter Element AF-75</t>
        </is>
      </c>
      <c r="G6" s="26" t="n">
        <v>45975</v>
      </c>
      <c r="H6" s="20" t="inlineStr">
        <is>
          <t>Terpasang dari SO2025/0512</t>
        </is>
      </c>
    </row>
    <row r="7">
      <c r="A7" s="19" t="n">
        <v>40312</v>
      </c>
      <c r="B7" s="19" t="n">
        <v>4031</v>
      </c>
      <c r="C7" s="20" t="inlineStr">
        <is>
          <t>L3</t>
        </is>
      </c>
      <c r="D7" s="20" t="inlineStr">
        <is>
          <t>Oil Separator OS-75</t>
        </is>
      </c>
      <c r="E7" s="19" t="n">
        <v>1182</v>
      </c>
      <c r="F7" s="20" t="inlineStr">
        <is>
          <t>Oil Separator OS-75</t>
        </is>
      </c>
      <c r="G7" s="26" t="n">
        <v>45598</v>
      </c>
      <c r="H7" s="20" t="inlineStr">
        <is>
          <t>Terpasang dari SO2024/0781</t>
        </is>
      </c>
    </row>
    <row r="8">
      <c r="A8" s="19" t="n">
        <v>4032</v>
      </c>
      <c r="B8" s="19" t="n">
        <v>403</v>
      </c>
      <c r="C8" s="20" t="inlineStr">
        <is>
          <t>L2</t>
        </is>
      </c>
      <c r="D8" s="20" t="inlineStr">
        <is>
          <t>Drive Module</t>
        </is>
      </c>
      <c r="E8" s="19" t="n">
        <v>2002</v>
      </c>
      <c r="F8" s="20" t="inlineStr">
        <is>
          <t>Drive Assembly GA-75</t>
        </is>
      </c>
      <c r="G8" s="26" t="n">
        <v>43771</v>
      </c>
      <c r="H8" s="20" t="inlineStr"/>
    </row>
    <row r="9">
      <c r="A9" s="19" t="n">
        <v>40321</v>
      </c>
      <c r="B9" s="19" t="n">
        <v>4032</v>
      </c>
      <c r="C9" s="20" t="inlineStr">
        <is>
          <t>L3</t>
        </is>
      </c>
      <c r="D9" s="20" t="inlineStr">
        <is>
          <t>Drive Belt DB-75</t>
        </is>
      </c>
      <c r="E9" s="19" t="n">
        <v>1190</v>
      </c>
      <c r="F9" s="20" t="inlineStr">
        <is>
          <t>Drive Belt DB-75</t>
        </is>
      </c>
      <c r="G9" s="26" t="n">
        <v>45078</v>
      </c>
      <c r="H9" s="20" t="inlineStr">
        <is>
          <t>Terpasang dari SO2023/0455</t>
        </is>
      </c>
    </row>
    <row r="10">
      <c r="A10" s="19" t="n">
        <v>40322</v>
      </c>
      <c r="B10" s="19" t="n">
        <v>4032</v>
      </c>
      <c r="C10" s="20" t="inlineStr">
        <is>
          <t>L3</t>
        </is>
      </c>
      <c r="D10" s="20" t="inlineStr">
        <is>
          <t>Coupling Element CE-75</t>
        </is>
      </c>
      <c r="E10" s="19" t="n">
        <v>1192</v>
      </c>
      <c r="F10" s="20" t="inlineStr">
        <is>
          <t>Coupling Element CE-75</t>
        </is>
      </c>
      <c r="G10" s="26" t="n">
        <v>43771</v>
      </c>
      <c r="H10" s="20" t="inlineStr">
        <is>
          <t>Masih bawaan pabrik</t>
        </is>
      </c>
    </row>
    <row r="11">
      <c r="A11" s="19" t="n">
        <v>4033</v>
      </c>
      <c r="B11" s="19" t="n">
        <v>403</v>
      </c>
      <c r="C11" s="20" t="inlineStr">
        <is>
          <t>L2</t>
        </is>
      </c>
      <c r="D11" s="20" t="inlineStr">
        <is>
          <t>Control Panel</t>
        </is>
      </c>
      <c r="E11" s="19" t="n">
        <v>2003</v>
      </c>
      <c r="F11" s="20" t="inlineStr">
        <is>
          <t>Control Panel GA-75</t>
        </is>
      </c>
      <c r="G11" s="26" t="n">
        <v>43771</v>
      </c>
      <c r="H11" s="20" t="inlineStr"/>
    </row>
    <row r="12">
      <c r="A12" s="19" t="n">
        <v>4111</v>
      </c>
      <c r="B12" s="19" t="n">
        <v>411</v>
      </c>
      <c r="C12" s="20" t="inlineStr">
        <is>
          <t>L2</t>
        </is>
      </c>
      <c r="D12" s="20" t="inlineStr">
        <is>
          <t>Condenser Module</t>
        </is>
      </c>
      <c r="E12" s="19" t="n">
        <v>2010</v>
      </c>
      <c r="F12" s="20" t="inlineStr">
        <is>
          <t>Condenser Assembly WC-200</t>
        </is>
      </c>
      <c r="G12" s="26" t="n">
        <v>44896</v>
      </c>
      <c r="H12" s="20" t="inlineStr"/>
    </row>
    <row r="13">
      <c r="A13" s="19" t="n">
        <v>41111</v>
      </c>
      <c r="B13" s="19" t="n">
        <v>4111</v>
      </c>
      <c r="C13" s="20" t="inlineStr">
        <is>
          <t>L3</t>
        </is>
      </c>
      <c r="D13" s="20" t="inlineStr">
        <is>
          <t>Chiller Water Filter CWF-200</t>
        </is>
      </c>
      <c r="E13" s="19" t="n">
        <v>1420</v>
      </c>
      <c r="F13" s="20" t="inlineStr">
        <is>
          <t>Chiller Water Filter CWF-200</t>
        </is>
      </c>
      <c r="G13" s="26" t="n">
        <v>46063</v>
      </c>
      <c r="H13" s="20" t="inlineStr">
        <is>
          <t>Terpasang dari SO2026/0055</t>
        </is>
      </c>
    </row>
    <row r="15">
      <c r="A15" s="16" t="inlineStr">
        <is>
          <t>Setiap baris L3 punya product_id -- inilah penegakan D-3 yang bisa diperiksa mesin (CR §16).</t>
        </is>
      </c>
      <c r="B15" s="17" t="n"/>
      <c r="C15" s="17" t="n"/>
      <c r="D15" s="17" t="n"/>
      <c r="E15" s="17" t="n"/>
      <c r="F15" s="17" t="n"/>
      <c r="G15" s="17" t="n"/>
      <c r="H15" s="17" t="n"/>
    </row>
    <row r="16">
      <c r="A16" s="18" t="inlineStr">
        <is>
          <t>Unit 403 dipakai sebagai contoh lengkap; unit 411 contoh ringkas. Di produksi, pohon ini diambil dengan SATU query batch, bukan loop per unit (CR §15.1).</t>
        </is>
      </c>
      <c r="B16" s="17" t="n"/>
      <c r="C16" s="17" t="n"/>
      <c r="D16" s="17" t="n"/>
      <c r="E16" s="17" t="n"/>
      <c r="F16" s="17" t="n"/>
      <c r="G16" s="17" t="n"/>
      <c r="H16" s="17" t="n"/>
    </row>
  </sheetData>
  <autoFilter ref="A4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15" customWidth="1" min="4" max="4"/>
    <col width="14" customWidth="1" min="5" max="5"/>
    <col width="20" customWidth="1" min="6" max="6"/>
    <col width="20" customWidth="1" min="7" max="7"/>
    <col width="16" customWidth="1" min="8" max="8"/>
    <col width="30" customWidth="1" min="9" max="9"/>
    <col width="56" customWidth="1" min="10" max="10"/>
  </cols>
  <sheetData>
    <row r="1">
      <c r="A1" s="1" t="inlineStr">
        <is>
          <t>Master Data Katalog Servis</t>
        </is>
      </c>
    </row>
    <row r="2">
      <c r="A2" s="2" t="inlineStr">
        <is>
          <t>TEMUAN 2 pada CR: tanpa sheet ini, registry selengkap apa pun menghasilkan NOL rekomendasi upsell.</t>
        </is>
      </c>
    </row>
    <row r="4" ht="30" customHeight="1">
      <c r="A4" s="11" t="inlineStr">
        <is>
          <t>part_product_id</t>
        </is>
      </c>
      <c r="B4" s="11" t="inlineStr">
        <is>
          <t>part_name</t>
        </is>
      </c>
      <c r="C4" s="11" t="inlineStr">
        <is>
          <t>is_wear_part</t>
        </is>
      </c>
      <c r="D4" s="11" t="inlineStr">
        <is>
          <t>interval_months</t>
        </is>
      </c>
      <c r="E4" s="11" t="inlineStr">
        <is>
          <t>interval_hours</t>
        </is>
      </c>
      <c r="F4" s="11" t="inlineStr">
        <is>
          <t>applies_to_category_id</t>
        </is>
      </c>
      <c r="G4" s="11" t="inlineStr">
        <is>
          <t>applies_to_product_id</t>
        </is>
      </c>
      <c r="H4" s="11" t="inlineStr">
        <is>
          <t>superseded_by_id</t>
        </is>
      </c>
      <c r="I4" s="11" t="inlineStr">
        <is>
          <t>superseded_by_name</t>
        </is>
      </c>
      <c r="J4" s="11" t="inlineStr">
        <is>
          <t>supersession_note</t>
        </is>
      </c>
    </row>
    <row r="5">
      <c r="A5" s="19" t="n">
        <v>1180</v>
      </c>
      <c r="B5" s="20" t="inlineStr">
        <is>
          <t>Air Filter Element AF-75</t>
        </is>
      </c>
      <c r="C5" s="20" t="inlineStr">
        <is>
          <t>TRUE</t>
        </is>
      </c>
      <c r="D5" s="27" t="n">
        <v>6</v>
      </c>
      <c r="E5" s="27" t="n">
        <v>2000</v>
      </c>
      <c r="F5" s="19" t="n">
        <v>5</v>
      </c>
      <c r="G5" s="19" t="n"/>
      <c r="H5" s="19" t="n">
        <v>1450</v>
      </c>
      <c r="I5" s="20" t="inlineStr">
        <is>
          <t>Air Filter Element AF-75HD</t>
        </is>
      </c>
      <c r="J5" s="20" t="inlineStr">
        <is>
          <t>Media HD: interval 12 bulan (dari 6). Hemat 1x penggantian per tahun.</t>
        </is>
      </c>
    </row>
    <row r="6">
      <c r="A6" s="19" t="n">
        <v>1450</v>
      </c>
      <c r="B6" s="20" t="inlineStr">
        <is>
          <t>Air Filter Element AF-75HD</t>
        </is>
      </c>
      <c r="C6" s="20" t="inlineStr">
        <is>
          <t>TRUE</t>
        </is>
      </c>
      <c r="D6" s="27" t="n">
        <v>12</v>
      </c>
      <c r="E6" s="27" t="n">
        <v>4000</v>
      </c>
      <c r="F6" s="19" t="n">
        <v>5</v>
      </c>
      <c r="G6" s="19" t="n"/>
      <c r="H6" s="19" t="n"/>
      <c r="I6" s="20" t="n"/>
      <c r="J6" s="20" t="n"/>
    </row>
    <row r="7">
      <c r="A7" s="19" t="n">
        <v>1182</v>
      </c>
      <c r="B7" s="20" t="inlineStr">
        <is>
          <t>Oil Separator OS-75</t>
        </is>
      </c>
      <c r="C7" s="20" t="inlineStr">
        <is>
          <t>TRUE</t>
        </is>
      </c>
      <c r="D7" s="27" t="n">
        <v>12</v>
      </c>
      <c r="E7" s="27" t="n">
        <v>4000</v>
      </c>
      <c r="F7" s="19" t="n">
        <v>5</v>
      </c>
      <c r="G7" s="19" t="n"/>
      <c r="H7" s="19" t="n"/>
      <c r="I7" s="20" t="n"/>
      <c r="J7" s="20" t="n"/>
    </row>
    <row r="8">
      <c r="A8" s="19" t="n">
        <v>1185</v>
      </c>
      <c r="B8" s="20" t="inlineStr">
        <is>
          <t>Compressor Oil ROTO-XTEND 20L</t>
        </is>
      </c>
      <c r="C8" s="20" t="inlineStr">
        <is>
          <t>TRUE</t>
        </is>
      </c>
      <c r="D8" s="27" t="n">
        <v>12</v>
      </c>
      <c r="E8" s="27" t="n">
        <v>4000</v>
      </c>
      <c r="F8" s="19" t="n">
        <v>5</v>
      </c>
      <c r="G8" s="19" t="n"/>
      <c r="H8" s="19" t="n"/>
      <c r="I8" s="20" t="n"/>
      <c r="J8" s="20" t="n"/>
    </row>
    <row r="9">
      <c r="A9" s="19" t="n">
        <v>1190</v>
      </c>
      <c r="B9" s="20" t="inlineStr">
        <is>
          <t>Drive Belt DB-75</t>
        </is>
      </c>
      <c r="C9" s="20" t="inlineStr">
        <is>
          <t>TRUE</t>
        </is>
      </c>
      <c r="D9" s="27" t="n">
        <v>24</v>
      </c>
      <c r="E9" s="27" t="n"/>
      <c r="F9" s="19" t="n"/>
      <c r="G9" s="19" t="n">
        <v>880</v>
      </c>
      <c r="H9" s="19" t="n"/>
      <c r="I9" s="20" t="n"/>
      <c r="J9" s="20" t="n"/>
    </row>
    <row r="10">
      <c r="A10" s="19" t="n">
        <v>1192</v>
      </c>
      <c r="B10" s="20" t="inlineStr">
        <is>
          <t>Coupling Element CE-75</t>
        </is>
      </c>
      <c r="C10" s="20" t="inlineStr">
        <is>
          <t>TRUE</t>
        </is>
      </c>
      <c r="D10" s="27" t="n">
        <v>36</v>
      </c>
      <c r="E10" s="27" t="n"/>
      <c r="F10" s="19" t="n">
        <v>5</v>
      </c>
      <c r="G10" s="19" t="n"/>
      <c r="H10" s="19" t="n"/>
      <c r="I10" s="20" t="n"/>
      <c r="J10" s="20" t="n"/>
    </row>
    <row r="11">
      <c r="A11" s="19" t="n">
        <v>1310</v>
      </c>
      <c r="B11" s="20" t="inlineStr">
        <is>
          <t>Hydraulic Filter HF-30</t>
        </is>
      </c>
      <c r="C11" s="20" t="inlineStr">
        <is>
          <t>TRUE</t>
        </is>
      </c>
      <c r="D11" s="27" t="n">
        <v>6</v>
      </c>
      <c r="E11" s="27" t="n">
        <v>1500</v>
      </c>
      <c r="F11" s="19" t="n">
        <v>7</v>
      </c>
      <c r="G11" s="19" t="n"/>
      <c r="H11" s="19" t="n"/>
      <c r="I11" s="20" t="n"/>
      <c r="J11" s="20" t="n"/>
    </row>
    <row r="12">
      <c r="A12" s="19" t="n">
        <v>1315</v>
      </c>
      <c r="B12" s="20" t="inlineStr">
        <is>
          <t>Hydraulic Oil HLP-46 200L</t>
        </is>
      </c>
      <c r="C12" s="20" t="inlineStr">
        <is>
          <t>TRUE</t>
        </is>
      </c>
      <c r="D12" s="27" t="n">
        <v>12</v>
      </c>
      <c r="E12" s="27" t="n">
        <v>3000</v>
      </c>
      <c r="F12" s="19" t="n">
        <v>7</v>
      </c>
      <c r="G12" s="19" t="n"/>
      <c r="H12" s="19" t="n"/>
      <c r="I12" s="20" t="n"/>
      <c r="J12" s="20" t="n"/>
    </row>
    <row r="13">
      <c r="A13" s="19" t="n">
        <v>1420</v>
      </c>
      <c r="B13" s="20" t="inlineStr">
        <is>
          <t>Chiller Water Filter CWF-200</t>
        </is>
      </c>
      <c r="C13" s="20" t="inlineStr">
        <is>
          <t>TRUE</t>
        </is>
      </c>
      <c r="D13" s="27" t="n">
        <v>4</v>
      </c>
      <c r="E13" s="27" t="n"/>
      <c r="F13" s="19" t="n">
        <v>9</v>
      </c>
      <c r="G13" s="19" t="n"/>
      <c r="H13" s="19" t="n"/>
      <c r="I13" s="20" t="n"/>
      <c r="J13" s="20" t="n"/>
    </row>
    <row r="14">
      <c r="A14" s="19" t="n">
        <v>1425</v>
      </c>
      <c r="B14" s="20" t="inlineStr">
        <is>
          <t>Refrigerant R-134a 13.6kg</t>
        </is>
      </c>
      <c r="C14" s="20" t="inlineStr">
        <is>
          <t>FALSE</t>
        </is>
      </c>
      <c r="D14" s="27" t="n"/>
      <c r="E14" s="27" t="n"/>
      <c r="F14" s="19" t="n">
        <v>9</v>
      </c>
      <c r="G14" s="19" t="n"/>
      <c r="H14" s="19" t="n"/>
      <c r="I14" s="20" t="n"/>
      <c r="J14" s="20" t="n"/>
    </row>
    <row r="16">
      <c r="A16" s="16" t="inlineStr">
        <is>
          <t>Part 1425 (Refrigerant) sengaja tanpa interval: ia spare cadangan, bukan wear part. Mesin rekomendasi melewatinya diam-diam tetapi menghitungnya ke metrik cakupan katalog (CR §9.3).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</row>
    <row r="17">
      <c r="A17" s="18" t="inlineStr">
        <is>
          <t>Pasangan 1180 -&gt; 1450 adalah jalur UPGRADE yang diminta benefit #2 client. Kolom supersession_note adalah talking point yang dipakai sales.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</row>
    <row r="18">
      <c r="A18" s="18" t="inlineStr">
        <is>
          <t>Kompatibilitas level kategori (kolom F) murah dan mencakup banyak; level produk (kolom G) presisi tetapi mahal dipelihara. Part 1190 sengaja memakai level produk.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</row>
  </sheetData>
  <autoFilter ref="A4:J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14" customWidth="1" min="4" max="4"/>
    <col width="14" customWidth="1" min="5" max="5"/>
    <col width="16" customWidth="1" min="6" max="6"/>
    <col width="32" customWidth="1" min="7" max="7"/>
    <col width="8" customWidth="1" min="8" max="8"/>
    <col width="18" customWidth="1" min="9" max="9"/>
    <col width="10" customWidth="1" min="10" max="10"/>
  </cols>
  <sheetData>
    <row r="1">
      <c r="A1" s="1" t="inlineStr">
        <is>
          <t>Riwayat Pembelian Sparepart</t>
        </is>
      </c>
    </row>
    <row r="2">
      <c r="A2" s="2" t="inlineStr">
        <is>
          <t>sale.order.line -- SATU-SATUNYA dari tiga bahan mesin rekomendasi yang sudah tersedia di sistem hari ini.</t>
        </is>
      </c>
    </row>
    <row r="4" ht="30" customHeight="1">
      <c r="A4" s="11" t="inlineStr">
        <is>
          <t>line_id</t>
        </is>
      </c>
      <c r="B4" s="11" t="inlineStr">
        <is>
          <t>commercial_partner_id</t>
        </is>
      </c>
      <c r="C4" s="11" t="inlineStr">
        <is>
          <t>partner_name</t>
        </is>
      </c>
      <c r="D4" s="11" t="inlineStr">
        <is>
          <t>order_ref</t>
        </is>
      </c>
      <c r="E4" s="11" t="inlineStr">
        <is>
          <t>order_date</t>
        </is>
      </c>
      <c r="F4" s="11" t="inlineStr">
        <is>
          <t>part_product_id</t>
        </is>
      </c>
      <c r="G4" s="11" t="inlineStr">
        <is>
          <t>part_name</t>
        </is>
      </c>
      <c r="H4" s="11" t="inlineStr">
        <is>
          <t>qty</t>
        </is>
      </c>
      <c r="I4" s="11" t="inlineStr">
        <is>
          <t>price_unit (IDR)</t>
        </is>
      </c>
      <c r="J4" s="11" t="inlineStr">
        <is>
          <t>state</t>
        </is>
      </c>
    </row>
    <row r="5">
      <c r="A5" s="19" t="n">
        <v>9001</v>
      </c>
      <c r="B5" s="19" t="n">
        <v>1001</v>
      </c>
      <c r="C5" s="20" t="inlineStr">
        <is>
          <t>PT Ayu Sentosa Sejahtera</t>
        </is>
      </c>
      <c r="D5" s="20" t="inlineStr">
        <is>
          <t>SO2022/0288</t>
        </is>
      </c>
      <c r="E5" s="26" t="n">
        <v>44691</v>
      </c>
      <c r="F5" s="19" t="n">
        <v>1180</v>
      </c>
      <c r="G5" s="20" t="inlineStr">
        <is>
          <t>Air Filter Element AF-75</t>
        </is>
      </c>
      <c r="H5" s="19" t="n">
        <v>4</v>
      </c>
      <c r="I5" s="19" t="n">
        <v>1150000</v>
      </c>
      <c r="J5" s="20" t="inlineStr">
        <is>
          <t>sale</t>
        </is>
      </c>
    </row>
    <row r="6">
      <c r="A6" s="19" t="n">
        <v>9002</v>
      </c>
      <c r="B6" s="19" t="n">
        <v>1001</v>
      </c>
      <c r="C6" s="20" t="inlineStr">
        <is>
          <t>PT Ayu Sentosa Sejahtera</t>
        </is>
      </c>
      <c r="D6" s="20" t="inlineStr">
        <is>
          <t>SO2023/0455</t>
        </is>
      </c>
      <c r="E6" s="26" t="n">
        <v>45078</v>
      </c>
      <c r="F6" s="19" t="n">
        <v>1190</v>
      </c>
      <c r="G6" s="20" t="inlineStr">
        <is>
          <t>Drive Belt DB-75</t>
        </is>
      </c>
      <c r="H6" s="19" t="n">
        <v>2</v>
      </c>
      <c r="I6" s="19" t="n">
        <v>1850000</v>
      </c>
      <c r="J6" s="20" t="inlineStr">
        <is>
          <t>done</t>
        </is>
      </c>
    </row>
    <row r="7">
      <c r="A7" s="19" t="n">
        <v>9003</v>
      </c>
      <c r="B7" s="19" t="n">
        <v>1001</v>
      </c>
      <c r="C7" s="20" t="inlineStr">
        <is>
          <t>PT Ayu Sentosa Sejahtera</t>
        </is>
      </c>
      <c r="D7" s="20" t="inlineStr">
        <is>
          <t>SO2024/0781</t>
        </is>
      </c>
      <c r="E7" s="26" t="n">
        <v>45598</v>
      </c>
      <c r="F7" s="19" t="n">
        <v>1182</v>
      </c>
      <c r="G7" s="20" t="inlineStr">
        <is>
          <t>Oil Separator OS-75</t>
        </is>
      </c>
      <c r="H7" s="19" t="n">
        <v>3</v>
      </c>
      <c r="I7" s="19" t="n">
        <v>4200000</v>
      </c>
      <c r="J7" s="20" t="inlineStr">
        <is>
          <t>done</t>
        </is>
      </c>
    </row>
    <row r="8">
      <c r="A8" s="19" t="n">
        <v>9004</v>
      </c>
      <c r="B8" s="19" t="n">
        <v>1001</v>
      </c>
      <c r="C8" s="20" t="inlineStr">
        <is>
          <t>PT Ayu Sentosa Sejahtera</t>
        </is>
      </c>
      <c r="D8" s="20" t="inlineStr">
        <is>
          <t>SO2025/0390</t>
        </is>
      </c>
      <c r="E8" s="26" t="n">
        <v>45901</v>
      </c>
      <c r="F8" s="19" t="n">
        <v>1315</v>
      </c>
      <c r="G8" s="20" t="inlineStr">
        <is>
          <t>Hydraulic Oil HLP-46 200L</t>
        </is>
      </c>
      <c r="H8" s="19" t="n">
        <v>1</v>
      </c>
      <c r="I8" s="19" t="n">
        <v>8400000</v>
      </c>
      <c r="J8" s="20" t="inlineStr">
        <is>
          <t>done</t>
        </is>
      </c>
    </row>
    <row r="9">
      <c r="A9" s="19" t="n">
        <v>9005</v>
      </c>
      <c r="B9" s="19" t="n">
        <v>1001</v>
      </c>
      <c r="C9" s="20" t="inlineStr">
        <is>
          <t>PT Ayu Sentosa Sejahtera</t>
        </is>
      </c>
      <c r="D9" s="20" t="inlineStr">
        <is>
          <t>SO2025/0512</t>
        </is>
      </c>
      <c r="E9" s="26" t="n">
        <v>45975</v>
      </c>
      <c r="F9" s="19" t="n">
        <v>1180</v>
      </c>
      <c r="G9" s="20" t="inlineStr">
        <is>
          <t>Air Filter Element AF-75</t>
        </is>
      </c>
      <c r="H9" s="19" t="n">
        <v>4</v>
      </c>
      <c r="I9" s="19" t="n">
        <v>1250000</v>
      </c>
      <c r="J9" s="20" t="inlineStr">
        <is>
          <t>done</t>
        </is>
      </c>
    </row>
    <row r="10">
      <c r="A10" s="19" t="n">
        <v>9006</v>
      </c>
      <c r="B10" s="19" t="n">
        <v>1001</v>
      </c>
      <c r="C10" s="20" t="inlineStr">
        <is>
          <t>PT Ayu Sentosa Sejahtera</t>
        </is>
      </c>
      <c r="D10" s="20" t="inlineStr">
        <is>
          <t>SO2026/0133</t>
        </is>
      </c>
      <c r="E10" s="26" t="n">
        <v>46101</v>
      </c>
      <c r="F10" s="19" t="n">
        <v>1185</v>
      </c>
      <c r="G10" s="20" t="inlineStr">
        <is>
          <t>Compressor Oil ROTO-XTEND 20L</t>
        </is>
      </c>
      <c r="H10" s="19" t="n">
        <v>6</v>
      </c>
      <c r="I10" s="19" t="n">
        <v>2750000</v>
      </c>
      <c r="J10" s="20" t="inlineStr">
        <is>
          <t>done</t>
        </is>
      </c>
    </row>
    <row r="11">
      <c r="A11" s="19" t="n">
        <v>9007</v>
      </c>
      <c r="B11" s="19" t="n">
        <v>1001</v>
      </c>
      <c r="C11" s="20" t="inlineStr">
        <is>
          <t>PT Ayu Sentosa Sejahtera</t>
        </is>
      </c>
      <c r="D11" s="20" t="inlineStr">
        <is>
          <t>SO2026/0201</t>
        </is>
      </c>
      <c r="E11" s="26" t="n">
        <v>46137</v>
      </c>
      <c r="F11" s="19" t="n">
        <v>1310</v>
      </c>
      <c r="G11" s="20" t="inlineStr">
        <is>
          <t>Hydraulic Filter HF-30</t>
        </is>
      </c>
      <c r="H11" s="19" t="n">
        <v>2</v>
      </c>
      <c r="I11" s="19" t="n">
        <v>980000</v>
      </c>
      <c r="J11" s="20" t="inlineStr">
        <is>
          <t>sale</t>
        </is>
      </c>
    </row>
    <row r="12">
      <c r="A12" s="19" t="n">
        <v>9010</v>
      </c>
      <c r="B12" s="19" t="n">
        <v>2001</v>
      </c>
      <c r="C12" s="20" t="inlineStr">
        <is>
          <t>PT Bina Nusantara Manufaktur</t>
        </is>
      </c>
      <c r="D12" s="20" t="inlineStr">
        <is>
          <t>SO2024/0910</t>
        </is>
      </c>
      <c r="E12" s="26" t="n">
        <v>45570</v>
      </c>
      <c r="F12" s="19" t="n">
        <v>1182</v>
      </c>
      <c r="G12" s="20" t="inlineStr">
        <is>
          <t>Oil Separator OS-75</t>
        </is>
      </c>
      <c r="H12" s="19" t="n">
        <v>1</v>
      </c>
      <c r="I12" s="19" t="n">
        <v>4200000</v>
      </c>
      <c r="J12" s="20" t="inlineStr">
        <is>
          <t>done</t>
        </is>
      </c>
    </row>
    <row r="13">
      <c r="A13" s="19" t="n">
        <v>9011</v>
      </c>
      <c r="B13" s="19" t="n">
        <v>2001</v>
      </c>
      <c r="C13" s="20" t="inlineStr">
        <is>
          <t>PT Bina Nusantara Manufaktur</t>
        </is>
      </c>
      <c r="D13" s="20" t="inlineStr">
        <is>
          <t>SO2025/0620</t>
        </is>
      </c>
      <c r="E13" s="26" t="n">
        <v>45887</v>
      </c>
      <c r="F13" s="19" t="n">
        <v>1425</v>
      </c>
      <c r="G13" s="20" t="inlineStr">
        <is>
          <t>Refrigerant R-134a 13.6kg</t>
        </is>
      </c>
      <c r="H13" s="19" t="n">
        <v>2</v>
      </c>
      <c r="I13" s="19" t="n">
        <v>3900000</v>
      </c>
      <c r="J13" s="20" t="inlineStr">
        <is>
          <t>done</t>
        </is>
      </c>
    </row>
    <row r="14">
      <c r="A14" s="19" t="n">
        <v>9012</v>
      </c>
      <c r="B14" s="19" t="n">
        <v>2001</v>
      </c>
      <c r="C14" s="20" t="inlineStr">
        <is>
          <t>PT Bina Nusantara Manufaktur</t>
        </is>
      </c>
      <c r="D14" s="20" t="inlineStr">
        <is>
          <t>SO2026/0055</t>
        </is>
      </c>
      <c r="E14" s="26" t="n">
        <v>46063</v>
      </c>
      <c r="F14" s="19" t="n">
        <v>1420</v>
      </c>
      <c r="G14" s="20" t="inlineStr">
        <is>
          <t>Chiller Water Filter CWF-200</t>
        </is>
      </c>
      <c r="H14" s="19" t="n">
        <v>4</v>
      </c>
      <c r="I14" s="19" t="n">
        <v>675000</v>
      </c>
      <c r="J14" s="20" t="inlineStr">
        <is>
          <t>done</t>
        </is>
      </c>
    </row>
    <row r="15">
      <c r="A15" s="19" t="n">
        <v>9013</v>
      </c>
      <c r="B15" s="19" t="n">
        <v>2001</v>
      </c>
      <c r="C15" s="20" t="inlineStr">
        <is>
          <t>PT Bina Nusantara Manufaktur</t>
        </is>
      </c>
      <c r="D15" s="20" t="inlineStr">
        <is>
          <t>SO2026/0298</t>
        </is>
      </c>
      <c r="E15" s="26" t="n">
        <v>46205</v>
      </c>
      <c r="F15" s="19" t="n">
        <v>1180</v>
      </c>
      <c r="G15" s="20" t="inlineStr">
        <is>
          <t>Air Filter Element AF-75</t>
        </is>
      </c>
      <c r="H15" s="19" t="n">
        <v>2</v>
      </c>
      <c r="I15" s="19" t="n">
        <v>1250000</v>
      </c>
      <c r="J15" s="20" t="inlineStr">
        <is>
          <t>sale</t>
        </is>
      </c>
    </row>
    <row r="16">
      <c r="A16" s="19" t="n">
        <v>9020</v>
      </c>
      <c r="B16" s="19" t="n">
        <v>3001</v>
      </c>
      <c r="C16" s="20" t="inlineStr">
        <is>
          <t>CV Cahaya Logam Perkasa</t>
        </is>
      </c>
      <c r="D16" s="20" t="inlineStr">
        <is>
          <t>SO2024/0333</t>
        </is>
      </c>
      <c r="E16" s="26" t="n">
        <v>45373</v>
      </c>
      <c r="F16" s="19" t="n">
        <v>1310</v>
      </c>
      <c r="G16" s="20" t="inlineStr">
        <is>
          <t>Hydraulic Filter HF-30</t>
        </is>
      </c>
      <c r="H16" s="19" t="n">
        <v>1</v>
      </c>
      <c r="I16" s="19" t="n">
        <v>980000</v>
      </c>
      <c r="J16" s="20" t="inlineStr">
        <is>
          <t>done</t>
        </is>
      </c>
    </row>
    <row r="17">
      <c r="A17" s="19" t="n">
        <v>9021</v>
      </c>
      <c r="B17" s="19" t="n">
        <v>3001</v>
      </c>
      <c r="C17" s="20" t="inlineStr">
        <is>
          <t>CV Cahaya Logam Perkasa</t>
        </is>
      </c>
      <c r="D17" s="20" t="inlineStr">
        <is>
          <t>SO2026/0245</t>
        </is>
      </c>
      <c r="E17" s="26" t="n">
        <v>46188</v>
      </c>
      <c r="F17" s="19" t="n">
        <v>1180</v>
      </c>
      <c r="G17" s="20" t="inlineStr">
        <is>
          <t>Air Filter Element AF-75</t>
        </is>
      </c>
      <c r="H17" s="19" t="n">
        <v>1</v>
      </c>
      <c r="I17" s="19" t="n">
        <v>1250000</v>
      </c>
      <c r="J17" s="20" t="inlineStr">
        <is>
          <t>done</t>
        </is>
      </c>
    </row>
    <row r="19">
      <c r="A19" s="16" t="inlineStr">
        <is>
          <t>Ayu Sentosa membeli AF-75 dua kali (2022 dan 2025). Mesin rekomendasi memakai yang TERAKHIR -- lihat formula kolom H sheet 07.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</row>
    <row r="20">
      <c r="A20" s="18" t="inlineStr">
        <is>
          <t>Pembelian tercatat di level entitas komersial dan tidak membawa referensi unit. Inilah akar D-5: pembelian tidak bisa ditautkan ke satu mesin tertentu.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</row>
  </sheetData>
  <autoFilter ref="A4:J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T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16" customWidth="1" min="4" max="4"/>
    <col width="15" customWidth="1" min="5" max="5"/>
    <col width="30" customWidth="1" min="6" max="6"/>
    <col width="14" customWidth="1" min="7" max="7"/>
    <col width="17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2" customWidth="1" min="14" max="14"/>
    <col width="15" customWidth="1" min="15" max="15"/>
    <col width="16" customWidth="1" min="16" max="16"/>
    <col width="58" customWidth="1" min="17" max="17"/>
    <col width="14" customWidth="1" min="18" max="18"/>
    <col width="28" customWidth="1" min="19" max="19"/>
    <col width="54" customWidth="1" min="20" max="20"/>
  </cols>
  <sheetData>
    <row r="1">
      <c r="A1" s="1" t="inlineStr">
        <is>
          <t>Output Mesin Rekomendasi (CR §9)</t>
        </is>
      </c>
    </row>
    <row r="2">
      <c r="A2" s="2" t="inlineStr">
        <is>
          <t>Seluruh kolom turunan adalah FORMULA. Ubah 01_Parameter atau 05_Katalog_Servis, dan sheet ini ikut berubah.</t>
        </is>
      </c>
    </row>
    <row r="4" ht="30" customHeight="1">
      <c r="A4" s="11" t="inlineStr">
        <is>
          <t>equipment_id</t>
        </is>
      </c>
      <c r="B4" s="11" t="inlineStr">
        <is>
          <t>equipment_name</t>
        </is>
      </c>
      <c r="C4" s="11" t="inlineStr">
        <is>
          <t>commercial_partner_id</t>
        </is>
      </c>
      <c r="D4" s="11" t="inlineStr">
        <is>
          <t>model_product_id</t>
        </is>
      </c>
      <c r="E4" s="11" t="inlineStr">
        <is>
          <t>part_product_id</t>
        </is>
      </c>
      <c r="F4" s="11" t="inlineStr">
        <is>
          <t>part_name</t>
        </is>
      </c>
      <c r="G4" s="11" t="inlineStr">
        <is>
          <t>interval_months</t>
        </is>
      </c>
      <c r="H4" s="11" t="inlineStr">
        <is>
          <t>last_purchase_date</t>
        </is>
      </c>
      <c r="I4" s="11" t="inlineStr">
        <is>
          <t>install_date</t>
        </is>
      </c>
      <c r="J4" s="11" t="inlineStr">
        <is>
          <t>basis</t>
        </is>
      </c>
      <c r="K4" s="11" t="inlineStr">
        <is>
          <t>basis_date</t>
        </is>
      </c>
      <c r="L4" s="11" t="inlineStr">
        <is>
          <t>due_date</t>
        </is>
      </c>
      <c r="M4" s="11" t="inlineStr">
        <is>
          <t>days_overdue</t>
        </is>
      </c>
      <c r="N4" s="11" t="inlineStr">
        <is>
          <t>status</t>
        </is>
      </c>
      <c r="O4" s="11" t="inlineStr">
        <is>
          <t>unit_count_model</t>
        </is>
      </c>
      <c r="P4" s="11" t="inlineStr">
        <is>
          <t>attribution</t>
        </is>
      </c>
      <c r="Q4" s="11" t="inlineStr">
        <is>
          <t>attribution_note</t>
        </is>
      </c>
      <c r="R4" s="11" t="inlineStr">
        <is>
          <t>upgrade_part_id</t>
        </is>
      </c>
      <c r="S4" s="11" t="inlineStr">
        <is>
          <t>upgrade_part_name</t>
        </is>
      </c>
      <c r="T4" s="11" t="inlineStr">
        <is>
          <t>upgrade_note</t>
        </is>
      </c>
    </row>
    <row r="5">
      <c r="A5" s="28" t="n">
        <v>401</v>
      </c>
      <c r="B5" s="29">
        <f>INDEX('03_Equipment_Unit'!$B$5:$B$20,MATCH($A5,'03_Equipment_Unit'!$A$5:$A$20,0))</f>
        <v/>
      </c>
      <c r="C5" s="30">
        <f>INDEX('03_Equipment_Unit'!$F$5:$F$20,MATCH($A5,'03_Equipment_Unit'!$A$5:$A$20,0))</f>
        <v/>
      </c>
      <c r="D5" s="30">
        <f>INDEX('03_Equipment_Unit'!$G$5:$G$20,MATCH($A5,'03_Equipment_Unit'!$A$5:$A$20,0))</f>
        <v/>
      </c>
      <c r="E5" s="28" t="n">
        <v>1180</v>
      </c>
      <c r="F5" s="29">
        <f>INDEX('05_Katalog_Servis'!$B$5:$B$14,MATCH($E5,'05_Katalog_Servis'!$A$5:$A$14,0))</f>
        <v/>
      </c>
      <c r="G5" s="30">
        <f>INDEX('05_Katalog_Servis'!$D$5:$D$14,MATCH($E5,'05_Katalog_Servis'!$A$5:$A$14,0))</f>
        <v/>
      </c>
      <c r="H5" s="31">
        <f>SUMPRODUCT(MAX(('06_Riwayat_Beli_Part'!$B$5:$B$17=$C5)*('06_Riwayat_Beli_Part'!$F$5:$F$17=$E5)*'06_Riwayat_Beli_Part'!$E$5:$E$17))</f>
        <v/>
      </c>
      <c r="I5" s="32">
        <f>INDEX('03_Equipment_Unit'!$K$5:$K$20,MATCH($A5,'03_Equipment_Unit'!$A$5:$A$20,0))</f>
        <v/>
      </c>
      <c r="J5" s="29">
        <f>IF($H5=0,"install_date","last_purchase")</f>
        <v/>
      </c>
      <c r="K5" s="33">
        <f>IF($H5=0,$I5,$H5)</f>
        <v/>
      </c>
      <c r="L5" s="33">
        <f>EDATE($K5,$G5)</f>
        <v/>
      </c>
      <c r="M5" s="34">
        <f>IF($L5&lt;'01_Parameter'!$B$5,'01_Parameter'!$B$5-$L5,0)</f>
        <v/>
      </c>
      <c r="N5" s="29">
        <f>IF($L5&lt;'01_Parameter'!$B$5,"overdue",IF($L5&lt;='01_Parameter'!$B$5+'01_Parameter'!$B$6,"due_soon","ok"))</f>
        <v/>
      </c>
      <c r="O5" s="30">
        <f>COUNTIFS('03_Equipment_Unit'!$F$5:$F$20,$C5,'03_Equipment_Unit'!$G$5:$G$20,$D5,'03_Equipment_Unit'!$N$5:$N$20,"active")</f>
        <v/>
      </c>
      <c r="P5" s="29">
        <f>IF($O5&gt;1,"fleet_estimated","unit")</f>
        <v/>
      </c>
      <c r="Q5" s="35">
        <f>IF($O5&gt;1,"Pelanggan memiliki "&amp;$O5&amp;" unit aktif model ini; pembelian tidak dapat ditautkan ke unit tertentu -- sampaikan sebagai perkiraan.","Atribusi pasti: hanya 1 unit aktif dengan model ini.")</f>
        <v/>
      </c>
      <c r="R5" s="30">
        <f>IF(INDEX('05_Katalog_Servis'!$H$5:$H$14,MATCH($E5,'05_Katalog_Servis'!$A$5:$A$14,0))=0,"",INDEX('05_Katalog_Servis'!$H$5:$H$14,MATCH($E5,'05_Katalog_Servis'!$A$5:$A$14,0)))</f>
        <v/>
      </c>
      <c r="S5" s="29">
        <f>IF(INDEX('05_Katalog_Servis'!$H$5:$H$14,MATCH($E5,'05_Katalog_Servis'!$A$5:$A$14,0))=0,"",INDEX('05_Katalog_Servis'!$I$5:$I$14,MATCH($E5,'05_Katalog_Servis'!$A$5:$A$14,0)))</f>
        <v/>
      </c>
      <c r="T5" s="35">
        <f>IF(INDEX('05_Katalog_Servis'!$H$5:$H$14,MATCH($E5,'05_Katalog_Servis'!$A$5:$A$14,0))=0,"",INDEX('05_Katalog_Servis'!$J$5:$J$14,MATCH($E5,'05_Katalog_Servis'!$A$5:$A$14,0)))</f>
        <v/>
      </c>
    </row>
    <row r="6">
      <c r="A6" s="28" t="n">
        <v>401</v>
      </c>
      <c r="B6" s="29">
        <f>INDEX('03_Equipment_Unit'!$B$5:$B$20,MATCH($A6,'03_Equipment_Unit'!$A$5:$A$20,0))</f>
        <v/>
      </c>
      <c r="C6" s="30">
        <f>INDEX('03_Equipment_Unit'!$F$5:$F$20,MATCH($A6,'03_Equipment_Unit'!$A$5:$A$20,0))</f>
        <v/>
      </c>
      <c r="D6" s="30">
        <f>INDEX('03_Equipment_Unit'!$G$5:$G$20,MATCH($A6,'03_Equipment_Unit'!$A$5:$A$20,0))</f>
        <v/>
      </c>
      <c r="E6" s="28" t="n">
        <v>1182</v>
      </c>
      <c r="F6" s="29">
        <f>INDEX('05_Katalog_Servis'!$B$5:$B$14,MATCH($E6,'05_Katalog_Servis'!$A$5:$A$14,0))</f>
        <v/>
      </c>
      <c r="G6" s="30">
        <f>INDEX('05_Katalog_Servis'!$D$5:$D$14,MATCH($E6,'05_Katalog_Servis'!$A$5:$A$14,0))</f>
        <v/>
      </c>
      <c r="H6" s="31">
        <f>SUMPRODUCT(MAX(('06_Riwayat_Beli_Part'!$B$5:$B$17=$C6)*('06_Riwayat_Beli_Part'!$F$5:$F$17=$E6)*'06_Riwayat_Beli_Part'!$E$5:$E$17))</f>
        <v/>
      </c>
      <c r="I6" s="32">
        <f>INDEX('03_Equipment_Unit'!$K$5:$K$20,MATCH($A6,'03_Equipment_Unit'!$A$5:$A$20,0))</f>
        <v/>
      </c>
      <c r="J6" s="29">
        <f>IF($H6=0,"install_date","last_purchase")</f>
        <v/>
      </c>
      <c r="K6" s="33">
        <f>IF($H6=0,$I6,$H6)</f>
        <v/>
      </c>
      <c r="L6" s="33">
        <f>EDATE($K6,$G6)</f>
        <v/>
      </c>
      <c r="M6" s="34">
        <f>IF($L6&lt;'01_Parameter'!$B$5,'01_Parameter'!$B$5-$L6,0)</f>
        <v/>
      </c>
      <c r="N6" s="29">
        <f>IF($L6&lt;'01_Parameter'!$B$5,"overdue",IF($L6&lt;='01_Parameter'!$B$5+'01_Parameter'!$B$6,"due_soon","ok"))</f>
        <v/>
      </c>
      <c r="O6" s="30">
        <f>COUNTIFS('03_Equipment_Unit'!$F$5:$F$20,$C6,'03_Equipment_Unit'!$G$5:$G$20,$D6,'03_Equipment_Unit'!$N$5:$N$20,"active")</f>
        <v/>
      </c>
      <c r="P6" s="29">
        <f>IF($O6&gt;1,"fleet_estimated","unit")</f>
        <v/>
      </c>
      <c r="Q6" s="35">
        <f>IF($O6&gt;1,"Pelanggan memiliki "&amp;$O6&amp;" unit aktif model ini; pembelian tidak dapat ditautkan ke unit tertentu -- sampaikan sebagai perkiraan.","Atribusi pasti: hanya 1 unit aktif dengan model ini.")</f>
        <v/>
      </c>
      <c r="R6" s="30">
        <f>IF(INDEX('05_Katalog_Servis'!$H$5:$H$14,MATCH($E6,'05_Katalog_Servis'!$A$5:$A$14,0))=0,"",INDEX('05_Katalog_Servis'!$H$5:$H$14,MATCH($E6,'05_Katalog_Servis'!$A$5:$A$14,0)))</f>
        <v/>
      </c>
      <c r="S6" s="29">
        <f>IF(INDEX('05_Katalog_Servis'!$H$5:$H$14,MATCH($E6,'05_Katalog_Servis'!$A$5:$A$14,0))=0,"",INDEX('05_Katalog_Servis'!$I$5:$I$14,MATCH($E6,'05_Katalog_Servis'!$A$5:$A$14,0)))</f>
        <v/>
      </c>
      <c r="T6" s="35">
        <f>IF(INDEX('05_Katalog_Servis'!$H$5:$H$14,MATCH($E6,'05_Katalog_Servis'!$A$5:$A$14,0))=0,"",INDEX('05_Katalog_Servis'!$J$5:$J$14,MATCH($E6,'05_Katalog_Servis'!$A$5:$A$14,0)))</f>
        <v/>
      </c>
    </row>
    <row r="7">
      <c r="A7" s="28" t="n">
        <v>401</v>
      </c>
      <c r="B7" s="29">
        <f>INDEX('03_Equipment_Unit'!$B$5:$B$20,MATCH($A7,'03_Equipment_Unit'!$A$5:$A$20,0))</f>
        <v/>
      </c>
      <c r="C7" s="30">
        <f>INDEX('03_Equipment_Unit'!$F$5:$F$20,MATCH($A7,'03_Equipment_Unit'!$A$5:$A$20,0))</f>
        <v/>
      </c>
      <c r="D7" s="30">
        <f>INDEX('03_Equipment_Unit'!$G$5:$G$20,MATCH($A7,'03_Equipment_Unit'!$A$5:$A$20,0))</f>
        <v/>
      </c>
      <c r="E7" s="28" t="n">
        <v>1185</v>
      </c>
      <c r="F7" s="29">
        <f>INDEX('05_Katalog_Servis'!$B$5:$B$14,MATCH($E7,'05_Katalog_Servis'!$A$5:$A$14,0))</f>
        <v/>
      </c>
      <c r="G7" s="30">
        <f>INDEX('05_Katalog_Servis'!$D$5:$D$14,MATCH($E7,'05_Katalog_Servis'!$A$5:$A$14,0))</f>
        <v/>
      </c>
      <c r="H7" s="31">
        <f>SUMPRODUCT(MAX(('06_Riwayat_Beli_Part'!$B$5:$B$17=$C7)*('06_Riwayat_Beli_Part'!$F$5:$F$17=$E7)*'06_Riwayat_Beli_Part'!$E$5:$E$17))</f>
        <v/>
      </c>
      <c r="I7" s="32">
        <f>INDEX('03_Equipment_Unit'!$K$5:$K$20,MATCH($A7,'03_Equipment_Unit'!$A$5:$A$20,0))</f>
        <v/>
      </c>
      <c r="J7" s="29">
        <f>IF($H7=0,"install_date","last_purchase")</f>
        <v/>
      </c>
      <c r="K7" s="33">
        <f>IF($H7=0,$I7,$H7)</f>
        <v/>
      </c>
      <c r="L7" s="33">
        <f>EDATE($K7,$G7)</f>
        <v/>
      </c>
      <c r="M7" s="34">
        <f>IF($L7&lt;'01_Parameter'!$B$5,'01_Parameter'!$B$5-$L7,0)</f>
        <v/>
      </c>
      <c r="N7" s="29">
        <f>IF($L7&lt;'01_Parameter'!$B$5,"overdue",IF($L7&lt;='01_Parameter'!$B$5+'01_Parameter'!$B$6,"due_soon","ok"))</f>
        <v/>
      </c>
      <c r="O7" s="30">
        <f>COUNTIFS('03_Equipment_Unit'!$F$5:$F$20,$C7,'03_Equipment_Unit'!$G$5:$G$20,$D7,'03_Equipment_Unit'!$N$5:$N$20,"active")</f>
        <v/>
      </c>
      <c r="P7" s="29">
        <f>IF($O7&gt;1,"fleet_estimated","unit")</f>
        <v/>
      </c>
      <c r="Q7" s="35">
        <f>IF($O7&gt;1,"Pelanggan memiliki "&amp;$O7&amp;" unit aktif model ini; pembelian tidak dapat ditautkan ke unit tertentu -- sampaikan sebagai perkiraan.","Atribusi pasti: hanya 1 unit aktif dengan model ini.")</f>
        <v/>
      </c>
      <c r="R7" s="30">
        <f>IF(INDEX('05_Katalog_Servis'!$H$5:$H$14,MATCH($E7,'05_Katalog_Servis'!$A$5:$A$14,0))=0,"",INDEX('05_Katalog_Servis'!$H$5:$H$14,MATCH($E7,'05_Katalog_Servis'!$A$5:$A$14,0)))</f>
        <v/>
      </c>
      <c r="S7" s="29">
        <f>IF(INDEX('05_Katalog_Servis'!$H$5:$H$14,MATCH($E7,'05_Katalog_Servis'!$A$5:$A$14,0))=0,"",INDEX('05_Katalog_Servis'!$I$5:$I$14,MATCH($E7,'05_Katalog_Servis'!$A$5:$A$14,0)))</f>
        <v/>
      </c>
      <c r="T7" s="35">
        <f>IF(INDEX('05_Katalog_Servis'!$H$5:$H$14,MATCH($E7,'05_Katalog_Servis'!$A$5:$A$14,0))=0,"",INDEX('05_Katalog_Servis'!$J$5:$J$14,MATCH($E7,'05_Katalog_Servis'!$A$5:$A$14,0)))</f>
        <v/>
      </c>
    </row>
    <row r="8">
      <c r="A8" s="28" t="n">
        <v>401</v>
      </c>
      <c r="B8" s="29">
        <f>INDEX('03_Equipment_Unit'!$B$5:$B$20,MATCH($A8,'03_Equipment_Unit'!$A$5:$A$20,0))</f>
        <v/>
      </c>
      <c r="C8" s="30">
        <f>INDEX('03_Equipment_Unit'!$F$5:$F$20,MATCH($A8,'03_Equipment_Unit'!$A$5:$A$20,0))</f>
        <v/>
      </c>
      <c r="D8" s="30">
        <f>INDEX('03_Equipment_Unit'!$G$5:$G$20,MATCH($A8,'03_Equipment_Unit'!$A$5:$A$20,0))</f>
        <v/>
      </c>
      <c r="E8" s="28" t="n">
        <v>1190</v>
      </c>
      <c r="F8" s="29">
        <f>INDEX('05_Katalog_Servis'!$B$5:$B$14,MATCH($E8,'05_Katalog_Servis'!$A$5:$A$14,0))</f>
        <v/>
      </c>
      <c r="G8" s="30">
        <f>INDEX('05_Katalog_Servis'!$D$5:$D$14,MATCH($E8,'05_Katalog_Servis'!$A$5:$A$14,0))</f>
        <v/>
      </c>
      <c r="H8" s="31">
        <f>SUMPRODUCT(MAX(('06_Riwayat_Beli_Part'!$B$5:$B$17=$C8)*('06_Riwayat_Beli_Part'!$F$5:$F$17=$E8)*'06_Riwayat_Beli_Part'!$E$5:$E$17))</f>
        <v/>
      </c>
      <c r="I8" s="32">
        <f>INDEX('03_Equipment_Unit'!$K$5:$K$20,MATCH($A8,'03_Equipment_Unit'!$A$5:$A$20,0))</f>
        <v/>
      </c>
      <c r="J8" s="29">
        <f>IF($H8=0,"install_date","last_purchase")</f>
        <v/>
      </c>
      <c r="K8" s="33">
        <f>IF($H8=0,$I8,$H8)</f>
        <v/>
      </c>
      <c r="L8" s="33">
        <f>EDATE($K8,$G8)</f>
        <v/>
      </c>
      <c r="M8" s="34">
        <f>IF($L8&lt;'01_Parameter'!$B$5,'01_Parameter'!$B$5-$L8,0)</f>
        <v/>
      </c>
      <c r="N8" s="29">
        <f>IF($L8&lt;'01_Parameter'!$B$5,"overdue",IF($L8&lt;='01_Parameter'!$B$5+'01_Parameter'!$B$6,"due_soon","ok"))</f>
        <v/>
      </c>
      <c r="O8" s="30">
        <f>COUNTIFS('03_Equipment_Unit'!$F$5:$F$20,$C8,'03_Equipment_Unit'!$G$5:$G$20,$D8,'03_Equipment_Unit'!$N$5:$N$20,"active")</f>
        <v/>
      </c>
      <c r="P8" s="29">
        <f>IF($O8&gt;1,"fleet_estimated","unit")</f>
        <v/>
      </c>
      <c r="Q8" s="35">
        <f>IF($O8&gt;1,"Pelanggan memiliki "&amp;$O8&amp;" unit aktif model ini; pembelian tidak dapat ditautkan ke unit tertentu -- sampaikan sebagai perkiraan.","Atribusi pasti: hanya 1 unit aktif dengan model ini.")</f>
        <v/>
      </c>
      <c r="R8" s="30">
        <f>IF(INDEX('05_Katalog_Servis'!$H$5:$H$14,MATCH($E8,'05_Katalog_Servis'!$A$5:$A$14,0))=0,"",INDEX('05_Katalog_Servis'!$H$5:$H$14,MATCH($E8,'05_Katalog_Servis'!$A$5:$A$14,0)))</f>
        <v/>
      </c>
      <c r="S8" s="29">
        <f>IF(INDEX('05_Katalog_Servis'!$H$5:$H$14,MATCH($E8,'05_Katalog_Servis'!$A$5:$A$14,0))=0,"",INDEX('05_Katalog_Servis'!$I$5:$I$14,MATCH($E8,'05_Katalog_Servis'!$A$5:$A$14,0)))</f>
        <v/>
      </c>
      <c r="T8" s="35">
        <f>IF(INDEX('05_Katalog_Servis'!$H$5:$H$14,MATCH($E8,'05_Katalog_Servis'!$A$5:$A$14,0))=0,"",INDEX('05_Katalog_Servis'!$J$5:$J$14,MATCH($E8,'05_Katalog_Servis'!$A$5:$A$14,0)))</f>
        <v/>
      </c>
    </row>
    <row r="9">
      <c r="A9" s="28" t="n">
        <v>401</v>
      </c>
      <c r="B9" s="29">
        <f>INDEX('03_Equipment_Unit'!$B$5:$B$20,MATCH($A9,'03_Equipment_Unit'!$A$5:$A$20,0))</f>
        <v/>
      </c>
      <c r="C9" s="30">
        <f>INDEX('03_Equipment_Unit'!$F$5:$F$20,MATCH($A9,'03_Equipment_Unit'!$A$5:$A$20,0))</f>
        <v/>
      </c>
      <c r="D9" s="30">
        <f>INDEX('03_Equipment_Unit'!$G$5:$G$20,MATCH($A9,'03_Equipment_Unit'!$A$5:$A$20,0))</f>
        <v/>
      </c>
      <c r="E9" s="28" t="n">
        <v>1192</v>
      </c>
      <c r="F9" s="29">
        <f>INDEX('05_Katalog_Servis'!$B$5:$B$14,MATCH($E9,'05_Katalog_Servis'!$A$5:$A$14,0))</f>
        <v/>
      </c>
      <c r="G9" s="30">
        <f>INDEX('05_Katalog_Servis'!$D$5:$D$14,MATCH($E9,'05_Katalog_Servis'!$A$5:$A$14,0))</f>
        <v/>
      </c>
      <c r="H9" s="31">
        <f>SUMPRODUCT(MAX(('06_Riwayat_Beli_Part'!$B$5:$B$17=$C9)*('06_Riwayat_Beli_Part'!$F$5:$F$17=$E9)*'06_Riwayat_Beli_Part'!$E$5:$E$17))</f>
        <v/>
      </c>
      <c r="I9" s="32">
        <f>INDEX('03_Equipment_Unit'!$K$5:$K$20,MATCH($A9,'03_Equipment_Unit'!$A$5:$A$20,0))</f>
        <v/>
      </c>
      <c r="J9" s="29">
        <f>IF($H9=0,"install_date","last_purchase")</f>
        <v/>
      </c>
      <c r="K9" s="33">
        <f>IF($H9=0,$I9,$H9)</f>
        <v/>
      </c>
      <c r="L9" s="33">
        <f>EDATE($K9,$G9)</f>
        <v/>
      </c>
      <c r="M9" s="34">
        <f>IF($L9&lt;'01_Parameter'!$B$5,'01_Parameter'!$B$5-$L9,0)</f>
        <v/>
      </c>
      <c r="N9" s="29">
        <f>IF($L9&lt;'01_Parameter'!$B$5,"overdue",IF($L9&lt;='01_Parameter'!$B$5+'01_Parameter'!$B$6,"due_soon","ok"))</f>
        <v/>
      </c>
      <c r="O9" s="30">
        <f>COUNTIFS('03_Equipment_Unit'!$F$5:$F$20,$C9,'03_Equipment_Unit'!$G$5:$G$20,$D9,'03_Equipment_Unit'!$N$5:$N$20,"active")</f>
        <v/>
      </c>
      <c r="P9" s="29">
        <f>IF($O9&gt;1,"fleet_estimated","unit")</f>
        <v/>
      </c>
      <c r="Q9" s="35">
        <f>IF($O9&gt;1,"Pelanggan memiliki "&amp;$O9&amp;" unit aktif model ini; pembelian tidak dapat ditautkan ke unit tertentu -- sampaikan sebagai perkiraan.","Atribusi pasti: hanya 1 unit aktif dengan model ini.")</f>
        <v/>
      </c>
      <c r="R9" s="30">
        <f>IF(INDEX('05_Katalog_Servis'!$H$5:$H$14,MATCH($E9,'05_Katalog_Servis'!$A$5:$A$14,0))=0,"",INDEX('05_Katalog_Servis'!$H$5:$H$14,MATCH($E9,'05_Katalog_Servis'!$A$5:$A$14,0)))</f>
        <v/>
      </c>
      <c r="S9" s="29">
        <f>IF(INDEX('05_Katalog_Servis'!$H$5:$H$14,MATCH($E9,'05_Katalog_Servis'!$A$5:$A$14,0))=0,"",INDEX('05_Katalog_Servis'!$I$5:$I$14,MATCH($E9,'05_Katalog_Servis'!$A$5:$A$14,0)))</f>
        <v/>
      </c>
      <c r="T9" s="35">
        <f>IF(INDEX('05_Katalog_Servis'!$H$5:$H$14,MATCH($E9,'05_Katalog_Servis'!$A$5:$A$14,0))=0,"",INDEX('05_Katalog_Servis'!$J$5:$J$14,MATCH($E9,'05_Katalog_Servis'!$A$5:$A$14,0)))</f>
        <v/>
      </c>
    </row>
    <row r="10">
      <c r="A10" s="28" t="n">
        <v>402</v>
      </c>
      <c r="B10" s="29">
        <f>INDEX('03_Equipment_Unit'!$B$5:$B$20,MATCH($A10,'03_Equipment_Unit'!$A$5:$A$20,0))</f>
        <v/>
      </c>
      <c r="C10" s="30">
        <f>INDEX('03_Equipment_Unit'!$F$5:$F$20,MATCH($A10,'03_Equipment_Unit'!$A$5:$A$20,0))</f>
        <v/>
      </c>
      <c r="D10" s="30">
        <f>INDEX('03_Equipment_Unit'!$G$5:$G$20,MATCH($A10,'03_Equipment_Unit'!$A$5:$A$20,0))</f>
        <v/>
      </c>
      <c r="E10" s="28" t="n">
        <v>1180</v>
      </c>
      <c r="F10" s="29">
        <f>INDEX('05_Katalog_Servis'!$B$5:$B$14,MATCH($E10,'05_Katalog_Servis'!$A$5:$A$14,0))</f>
        <v/>
      </c>
      <c r="G10" s="30">
        <f>INDEX('05_Katalog_Servis'!$D$5:$D$14,MATCH($E10,'05_Katalog_Servis'!$A$5:$A$14,0))</f>
        <v/>
      </c>
      <c r="H10" s="31">
        <f>SUMPRODUCT(MAX(('06_Riwayat_Beli_Part'!$B$5:$B$17=$C10)*('06_Riwayat_Beli_Part'!$F$5:$F$17=$E10)*'06_Riwayat_Beli_Part'!$E$5:$E$17))</f>
        <v/>
      </c>
      <c r="I10" s="32">
        <f>INDEX('03_Equipment_Unit'!$K$5:$K$20,MATCH($A10,'03_Equipment_Unit'!$A$5:$A$20,0))</f>
        <v/>
      </c>
      <c r="J10" s="29">
        <f>IF($H10=0,"install_date","last_purchase")</f>
        <v/>
      </c>
      <c r="K10" s="33">
        <f>IF($H10=0,$I10,$H10)</f>
        <v/>
      </c>
      <c r="L10" s="33">
        <f>EDATE($K10,$G10)</f>
        <v/>
      </c>
      <c r="M10" s="34">
        <f>IF($L10&lt;'01_Parameter'!$B$5,'01_Parameter'!$B$5-$L10,0)</f>
        <v/>
      </c>
      <c r="N10" s="29">
        <f>IF($L10&lt;'01_Parameter'!$B$5,"overdue",IF($L10&lt;='01_Parameter'!$B$5+'01_Parameter'!$B$6,"due_soon","ok"))</f>
        <v/>
      </c>
      <c r="O10" s="30">
        <f>COUNTIFS('03_Equipment_Unit'!$F$5:$F$20,$C10,'03_Equipment_Unit'!$G$5:$G$20,$D10,'03_Equipment_Unit'!$N$5:$N$20,"active")</f>
        <v/>
      </c>
      <c r="P10" s="29">
        <f>IF($O10&gt;1,"fleet_estimated","unit")</f>
        <v/>
      </c>
      <c r="Q10" s="35">
        <f>IF($O10&gt;1,"Pelanggan memiliki "&amp;$O10&amp;" unit aktif model ini; pembelian tidak dapat ditautkan ke unit tertentu -- sampaikan sebagai perkiraan.","Atribusi pasti: hanya 1 unit aktif dengan model ini.")</f>
        <v/>
      </c>
      <c r="R10" s="30">
        <f>IF(INDEX('05_Katalog_Servis'!$H$5:$H$14,MATCH($E10,'05_Katalog_Servis'!$A$5:$A$14,0))=0,"",INDEX('05_Katalog_Servis'!$H$5:$H$14,MATCH($E10,'05_Katalog_Servis'!$A$5:$A$14,0)))</f>
        <v/>
      </c>
      <c r="S10" s="29">
        <f>IF(INDEX('05_Katalog_Servis'!$H$5:$H$14,MATCH($E10,'05_Katalog_Servis'!$A$5:$A$14,0))=0,"",INDEX('05_Katalog_Servis'!$I$5:$I$14,MATCH($E10,'05_Katalog_Servis'!$A$5:$A$14,0)))</f>
        <v/>
      </c>
      <c r="T10" s="35">
        <f>IF(INDEX('05_Katalog_Servis'!$H$5:$H$14,MATCH($E10,'05_Katalog_Servis'!$A$5:$A$14,0))=0,"",INDEX('05_Katalog_Servis'!$J$5:$J$14,MATCH($E10,'05_Katalog_Servis'!$A$5:$A$14,0)))</f>
        <v/>
      </c>
    </row>
    <row r="11">
      <c r="A11" s="28" t="n">
        <v>402</v>
      </c>
      <c r="B11" s="29">
        <f>INDEX('03_Equipment_Unit'!$B$5:$B$20,MATCH($A11,'03_Equipment_Unit'!$A$5:$A$20,0))</f>
        <v/>
      </c>
      <c r="C11" s="30">
        <f>INDEX('03_Equipment_Unit'!$F$5:$F$20,MATCH($A11,'03_Equipment_Unit'!$A$5:$A$20,0))</f>
        <v/>
      </c>
      <c r="D11" s="30">
        <f>INDEX('03_Equipment_Unit'!$G$5:$G$20,MATCH($A11,'03_Equipment_Unit'!$A$5:$A$20,0))</f>
        <v/>
      </c>
      <c r="E11" s="28" t="n">
        <v>1182</v>
      </c>
      <c r="F11" s="29">
        <f>INDEX('05_Katalog_Servis'!$B$5:$B$14,MATCH($E11,'05_Katalog_Servis'!$A$5:$A$14,0))</f>
        <v/>
      </c>
      <c r="G11" s="30">
        <f>INDEX('05_Katalog_Servis'!$D$5:$D$14,MATCH($E11,'05_Katalog_Servis'!$A$5:$A$14,0))</f>
        <v/>
      </c>
      <c r="H11" s="31">
        <f>SUMPRODUCT(MAX(('06_Riwayat_Beli_Part'!$B$5:$B$17=$C11)*('06_Riwayat_Beli_Part'!$F$5:$F$17=$E11)*'06_Riwayat_Beli_Part'!$E$5:$E$17))</f>
        <v/>
      </c>
      <c r="I11" s="32">
        <f>INDEX('03_Equipment_Unit'!$K$5:$K$20,MATCH($A11,'03_Equipment_Unit'!$A$5:$A$20,0))</f>
        <v/>
      </c>
      <c r="J11" s="29">
        <f>IF($H11=0,"install_date","last_purchase")</f>
        <v/>
      </c>
      <c r="K11" s="33">
        <f>IF($H11=0,$I11,$H11)</f>
        <v/>
      </c>
      <c r="L11" s="33">
        <f>EDATE($K11,$G11)</f>
        <v/>
      </c>
      <c r="M11" s="34">
        <f>IF($L11&lt;'01_Parameter'!$B$5,'01_Parameter'!$B$5-$L11,0)</f>
        <v/>
      </c>
      <c r="N11" s="29">
        <f>IF($L11&lt;'01_Parameter'!$B$5,"overdue",IF($L11&lt;='01_Parameter'!$B$5+'01_Parameter'!$B$6,"due_soon","ok"))</f>
        <v/>
      </c>
      <c r="O11" s="30">
        <f>COUNTIFS('03_Equipment_Unit'!$F$5:$F$20,$C11,'03_Equipment_Unit'!$G$5:$G$20,$D11,'03_Equipment_Unit'!$N$5:$N$20,"active")</f>
        <v/>
      </c>
      <c r="P11" s="29">
        <f>IF($O11&gt;1,"fleet_estimated","unit")</f>
        <v/>
      </c>
      <c r="Q11" s="35">
        <f>IF($O11&gt;1,"Pelanggan memiliki "&amp;$O11&amp;" unit aktif model ini; pembelian tidak dapat ditautkan ke unit tertentu -- sampaikan sebagai perkiraan.","Atribusi pasti: hanya 1 unit aktif dengan model ini.")</f>
        <v/>
      </c>
      <c r="R11" s="30">
        <f>IF(INDEX('05_Katalog_Servis'!$H$5:$H$14,MATCH($E11,'05_Katalog_Servis'!$A$5:$A$14,0))=0,"",INDEX('05_Katalog_Servis'!$H$5:$H$14,MATCH($E11,'05_Katalog_Servis'!$A$5:$A$14,0)))</f>
        <v/>
      </c>
      <c r="S11" s="29">
        <f>IF(INDEX('05_Katalog_Servis'!$H$5:$H$14,MATCH($E11,'05_Katalog_Servis'!$A$5:$A$14,0))=0,"",INDEX('05_Katalog_Servis'!$I$5:$I$14,MATCH($E11,'05_Katalog_Servis'!$A$5:$A$14,0)))</f>
        <v/>
      </c>
      <c r="T11" s="35">
        <f>IF(INDEX('05_Katalog_Servis'!$H$5:$H$14,MATCH($E11,'05_Katalog_Servis'!$A$5:$A$14,0))=0,"",INDEX('05_Katalog_Servis'!$J$5:$J$14,MATCH($E11,'05_Katalog_Servis'!$A$5:$A$14,0)))</f>
        <v/>
      </c>
    </row>
    <row r="12">
      <c r="A12" s="28" t="n">
        <v>402</v>
      </c>
      <c r="B12" s="29">
        <f>INDEX('03_Equipment_Unit'!$B$5:$B$20,MATCH($A12,'03_Equipment_Unit'!$A$5:$A$20,0))</f>
        <v/>
      </c>
      <c r="C12" s="30">
        <f>INDEX('03_Equipment_Unit'!$F$5:$F$20,MATCH($A12,'03_Equipment_Unit'!$A$5:$A$20,0))</f>
        <v/>
      </c>
      <c r="D12" s="30">
        <f>INDEX('03_Equipment_Unit'!$G$5:$G$20,MATCH($A12,'03_Equipment_Unit'!$A$5:$A$20,0))</f>
        <v/>
      </c>
      <c r="E12" s="28" t="n">
        <v>1185</v>
      </c>
      <c r="F12" s="29">
        <f>INDEX('05_Katalog_Servis'!$B$5:$B$14,MATCH($E12,'05_Katalog_Servis'!$A$5:$A$14,0))</f>
        <v/>
      </c>
      <c r="G12" s="30">
        <f>INDEX('05_Katalog_Servis'!$D$5:$D$14,MATCH($E12,'05_Katalog_Servis'!$A$5:$A$14,0))</f>
        <v/>
      </c>
      <c r="H12" s="31">
        <f>SUMPRODUCT(MAX(('06_Riwayat_Beli_Part'!$B$5:$B$17=$C12)*('06_Riwayat_Beli_Part'!$F$5:$F$17=$E12)*'06_Riwayat_Beli_Part'!$E$5:$E$17))</f>
        <v/>
      </c>
      <c r="I12" s="32">
        <f>INDEX('03_Equipment_Unit'!$K$5:$K$20,MATCH($A12,'03_Equipment_Unit'!$A$5:$A$20,0))</f>
        <v/>
      </c>
      <c r="J12" s="29">
        <f>IF($H12=0,"install_date","last_purchase")</f>
        <v/>
      </c>
      <c r="K12" s="33">
        <f>IF($H12=0,$I12,$H12)</f>
        <v/>
      </c>
      <c r="L12" s="33">
        <f>EDATE($K12,$G12)</f>
        <v/>
      </c>
      <c r="M12" s="34">
        <f>IF($L12&lt;'01_Parameter'!$B$5,'01_Parameter'!$B$5-$L12,0)</f>
        <v/>
      </c>
      <c r="N12" s="29">
        <f>IF($L12&lt;'01_Parameter'!$B$5,"overdue",IF($L12&lt;='01_Parameter'!$B$5+'01_Parameter'!$B$6,"due_soon","ok"))</f>
        <v/>
      </c>
      <c r="O12" s="30">
        <f>COUNTIFS('03_Equipment_Unit'!$F$5:$F$20,$C12,'03_Equipment_Unit'!$G$5:$G$20,$D12,'03_Equipment_Unit'!$N$5:$N$20,"active")</f>
        <v/>
      </c>
      <c r="P12" s="29">
        <f>IF($O12&gt;1,"fleet_estimated","unit")</f>
        <v/>
      </c>
      <c r="Q12" s="35">
        <f>IF($O12&gt;1,"Pelanggan memiliki "&amp;$O12&amp;" unit aktif model ini; pembelian tidak dapat ditautkan ke unit tertentu -- sampaikan sebagai perkiraan.","Atribusi pasti: hanya 1 unit aktif dengan model ini.")</f>
        <v/>
      </c>
      <c r="R12" s="30">
        <f>IF(INDEX('05_Katalog_Servis'!$H$5:$H$14,MATCH($E12,'05_Katalog_Servis'!$A$5:$A$14,0))=0,"",INDEX('05_Katalog_Servis'!$H$5:$H$14,MATCH($E12,'05_Katalog_Servis'!$A$5:$A$14,0)))</f>
        <v/>
      </c>
      <c r="S12" s="29">
        <f>IF(INDEX('05_Katalog_Servis'!$H$5:$H$14,MATCH($E12,'05_Katalog_Servis'!$A$5:$A$14,0))=0,"",INDEX('05_Katalog_Servis'!$I$5:$I$14,MATCH($E12,'05_Katalog_Servis'!$A$5:$A$14,0)))</f>
        <v/>
      </c>
      <c r="T12" s="35">
        <f>IF(INDEX('05_Katalog_Servis'!$H$5:$H$14,MATCH($E12,'05_Katalog_Servis'!$A$5:$A$14,0))=0,"",INDEX('05_Katalog_Servis'!$J$5:$J$14,MATCH($E12,'05_Katalog_Servis'!$A$5:$A$14,0)))</f>
        <v/>
      </c>
    </row>
    <row r="13">
      <c r="A13" s="28" t="n">
        <v>402</v>
      </c>
      <c r="B13" s="29">
        <f>INDEX('03_Equipment_Unit'!$B$5:$B$20,MATCH($A13,'03_Equipment_Unit'!$A$5:$A$20,0))</f>
        <v/>
      </c>
      <c r="C13" s="30">
        <f>INDEX('03_Equipment_Unit'!$F$5:$F$20,MATCH($A13,'03_Equipment_Unit'!$A$5:$A$20,0))</f>
        <v/>
      </c>
      <c r="D13" s="30">
        <f>INDEX('03_Equipment_Unit'!$G$5:$G$20,MATCH($A13,'03_Equipment_Unit'!$A$5:$A$20,0))</f>
        <v/>
      </c>
      <c r="E13" s="28" t="n">
        <v>1190</v>
      </c>
      <c r="F13" s="29">
        <f>INDEX('05_Katalog_Servis'!$B$5:$B$14,MATCH($E13,'05_Katalog_Servis'!$A$5:$A$14,0))</f>
        <v/>
      </c>
      <c r="G13" s="30">
        <f>INDEX('05_Katalog_Servis'!$D$5:$D$14,MATCH($E13,'05_Katalog_Servis'!$A$5:$A$14,0))</f>
        <v/>
      </c>
      <c r="H13" s="31">
        <f>SUMPRODUCT(MAX(('06_Riwayat_Beli_Part'!$B$5:$B$17=$C13)*('06_Riwayat_Beli_Part'!$F$5:$F$17=$E13)*'06_Riwayat_Beli_Part'!$E$5:$E$17))</f>
        <v/>
      </c>
      <c r="I13" s="32">
        <f>INDEX('03_Equipment_Unit'!$K$5:$K$20,MATCH($A13,'03_Equipment_Unit'!$A$5:$A$20,0))</f>
        <v/>
      </c>
      <c r="J13" s="29">
        <f>IF($H13=0,"install_date","last_purchase")</f>
        <v/>
      </c>
      <c r="K13" s="33">
        <f>IF($H13=0,$I13,$H13)</f>
        <v/>
      </c>
      <c r="L13" s="33">
        <f>EDATE($K13,$G13)</f>
        <v/>
      </c>
      <c r="M13" s="34">
        <f>IF($L13&lt;'01_Parameter'!$B$5,'01_Parameter'!$B$5-$L13,0)</f>
        <v/>
      </c>
      <c r="N13" s="29">
        <f>IF($L13&lt;'01_Parameter'!$B$5,"overdue",IF($L13&lt;='01_Parameter'!$B$5+'01_Parameter'!$B$6,"due_soon","ok"))</f>
        <v/>
      </c>
      <c r="O13" s="30">
        <f>COUNTIFS('03_Equipment_Unit'!$F$5:$F$20,$C13,'03_Equipment_Unit'!$G$5:$G$20,$D13,'03_Equipment_Unit'!$N$5:$N$20,"active")</f>
        <v/>
      </c>
      <c r="P13" s="29">
        <f>IF($O13&gt;1,"fleet_estimated","unit")</f>
        <v/>
      </c>
      <c r="Q13" s="35">
        <f>IF($O13&gt;1,"Pelanggan memiliki "&amp;$O13&amp;" unit aktif model ini; pembelian tidak dapat ditautkan ke unit tertentu -- sampaikan sebagai perkiraan.","Atribusi pasti: hanya 1 unit aktif dengan model ini.")</f>
        <v/>
      </c>
      <c r="R13" s="30">
        <f>IF(INDEX('05_Katalog_Servis'!$H$5:$H$14,MATCH($E13,'05_Katalog_Servis'!$A$5:$A$14,0))=0,"",INDEX('05_Katalog_Servis'!$H$5:$H$14,MATCH($E13,'05_Katalog_Servis'!$A$5:$A$14,0)))</f>
        <v/>
      </c>
      <c r="S13" s="29">
        <f>IF(INDEX('05_Katalog_Servis'!$H$5:$H$14,MATCH($E13,'05_Katalog_Servis'!$A$5:$A$14,0))=0,"",INDEX('05_Katalog_Servis'!$I$5:$I$14,MATCH($E13,'05_Katalog_Servis'!$A$5:$A$14,0)))</f>
        <v/>
      </c>
      <c r="T13" s="35">
        <f>IF(INDEX('05_Katalog_Servis'!$H$5:$H$14,MATCH($E13,'05_Katalog_Servis'!$A$5:$A$14,0))=0,"",INDEX('05_Katalog_Servis'!$J$5:$J$14,MATCH($E13,'05_Katalog_Servis'!$A$5:$A$14,0)))</f>
        <v/>
      </c>
    </row>
    <row r="14">
      <c r="A14" s="28" t="n">
        <v>402</v>
      </c>
      <c r="B14" s="29">
        <f>INDEX('03_Equipment_Unit'!$B$5:$B$20,MATCH($A14,'03_Equipment_Unit'!$A$5:$A$20,0))</f>
        <v/>
      </c>
      <c r="C14" s="30">
        <f>INDEX('03_Equipment_Unit'!$F$5:$F$20,MATCH($A14,'03_Equipment_Unit'!$A$5:$A$20,0))</f>
        <v/>
      </c>
      <c r="D14" s="30">
        <f>INDEX('03_Equipment_Unit'!$G$5:$G$20,MATCH($A14,'03_Equipment_Unit'!$A$5:$A$20,0))</f>
        <v/>
      </c>
      <c r="E14" s="28" t="n">
        <v>1192</v>
      </c>
      <c r="F14" s="29">
        <f>INDEX('05_Katalog_Servis'!$B$5:$B$14,MATCH($E14,'05_Katalog_Servis'!$A$5:$A$14,0))</f>
        <v/>
      </c>
      <c r="G14" s="30">
        <f>INDEX('05_Katalog_Servis'!$D$5:$D$14,MATCH($E14,'05_Katalog_Servis'!$A$5:$A$14,0))</f>
        <v/>
      </c>
      <c r="H14" s="31">
        <f>SUMPRODUCT(MAX(('06_Riwayat_Beli_Part'!$B$5:$B$17=$C14)*('06_Riwayat_Beli_Part'!$F$5:$F$17=$E14)*'06_Riwayat_Beli_Part'!$E$5:$E$17))</f>
        <v/>
      </c>
      <c r="I14" s="32">
        <f>INDEX('03_Equipment_Unit'!$K$5:$K$20,MATCH($A14,'03_Equipment_Unit'!$A$5:$A$20,0))</f>
        <v/>
      </c>
      <c r="J14" s="29">
        <f>IF($H14=0,"install_date","last_purchase")</f>
        <v/>
      </c>
      <c r="K14" s="33">
        <f>IF($H14=0,$I14,$H14)</f>
        <v/>
      </c>
      <c r="L14" s="33">
        <f>EDATE($K14,$G14)</f>
        <v/>
      </c>
      <c r="M14" s="34">
        <f>IF($L14&lt;'01_Parameter'!$B$5,'01_Parameter'!$B$5-$L14,0)</f>
        <v/>
      </c>
      <c r="N14" s="29">
        <f>IF($L14&lt;'01_Parameter'!$B$5,"overdue",IF($L14&lt;='01_Parameter'!$B$5+'01_Parameter'!$B$6,"due_soon","ok"))</f>
        <v/>
      </c>
      <c r="O14" s="30">
        <f>COUNTIFS('03_Equipment_Unit'!$F$5:$F$20,$C14,'03_Equipment_Unit'!$G$5:$G$20,$D14,'03_Equipment_Unit'!$N$5:$N$20,"active")</f>
        <v/>
      </c>
      <c r="P14" s="29">
        <f>IF($O14&gt;1,"fleet_estimated","unit")</f>
        <v/>
      </c>
      <c r="Q14" s="35">
        <f>IF($O14&gt;1,"Pelanggan memiliki "&amp;$O14&amp;" unit aktif model ini; pembelian tidak dapat ditautkan ke unit tertentu -- sampaikan sebagai perkiraan.","Atribusi pasti: hanya 1 unit aktif dengan model ini.")</f>
        <v/>
      </c>
      <c r="R14" s="30">
        <f>IF(INDEX('05_Katalog_Servis'!$H$5:$H$14,MATCH($E14,'05_Katalog_Servis'!$A$5:$A$14,0))=0,"",INDEX('05_Katalog_Servis'!$H$5:$H$14,MATCH($E14,'05_Katalog_Servis'!$A$5:$A$14,0)))</f>
        <v/>
      </c>
      <c r="S14" s="29">
        <f>IF(INDEX('05_Katalog_Servis'!$H$5:$H$14,MATCH($E14,'05_Katalog_Servis'!$A$5:$A$14,0))=0,"",INDEX('05_Katalog_Servis'!$I$5:$I$14,MATCH($E14,'05_Katalog_Servis'!$A$5:$A$14,0)))</f>
        <v/>
      </c>
      <c r="T14" s="35">
        <f>IF(INDEX('05_Katalog_Servis'!$H$5:$H$14,MATCH($E14,'05_Katalog_Servis'!$A$5:$A$14,0))=0,"",INDEX('05_Katalog_Servis'!$J$5:$J$14,MATCH($E14,'05_Katalog_Servis'!$A$5:$A$14,0)))</f>
        <v/>
      </c>
    </row>
    <row r="15">
      <c r="A15" s="28" t="n">
        <v>403</v>
      </c>
      <c r="B15" s="29">
        <f>INDEX('03_Equipment_Unit'!$B$5:$B$20,MATCH($A15,'03_Equipment_Unit'!$A$5:$A$20,0))</f>
        <v/>
      </c>
      <c r="C15" s="30">
        <f>INDEX('03_Equipment_Unit'!$F$5:$F$20,MATCH($A15,'03_Equipment_Unit'!$A$5:$A$20,0))</f>
        <v/>
      </c>
      <c r="D15" s="30">
        <f>INDEX('03_Equipment_Unit'!$G$5:$G$20,MATCH($A15,'03_Equipment_Unit'!$A$5:$A$20,0))</f>
        <v/>
      </c>
      <c r="E15" s="28" t="n">
        <v>1180</v>
      </c>
      <c r="F15" s="29">
        <f>INDEX('05_Katalog_Servis'!$B$5:$B$14,MATCH($E15,'05_Katalog_Servis'!$A$5:$A$14,0))</f>
        <v/>
      </c>
      <c r="G15" s="30">
        <f>INDEX('05_Katalog_Servis'!$D$5:$D$14,MATCH($E15,'05_Katalog_Servis'!$A$5:$A$14,0))</f>
        <v/>
      </c>
      <c r="H15" s="31">
        <f>SUMPRODUCT(MAX(('06_Riwayat_Beli_Part'!$B$5:$B$17=$C15)*('06_Riwayat_Beli_Part'!$F$5:$F$17=$E15)*'06_Riwayat_Beli_Part'!$E$5:$E$17))</f>
        <v/>
      </c>
      <c r="I15" s="32">
        <f>INDEX('03_Equipment_Unit'!$K$5:$K$20,MATCH($A15,'03_Equipment_Unit'!$A$5:$A$20,0))</f>
        <v/>
      </c>
      <c r="J15" s="29">
        <f>IF($H15=0,"install_date","last_purchase")</f>
        <v/>
      </c>
      <c r="K15" s="33">
        <f>IF($H15=0,$I15,$H15)</f>
        <v/>
      </c>
      <c r="L15" s="33">
        <f>EDATE($K15,$G15)</f>
        <v/>
      </c>
      <c r="M15" s="34">
        <f>IF($L15&lt;'01_Parameter'!$B$5,'01_Parameter'!$B$5-$L15,0)</f>
        <v/>
      </c>
      <c r="N15" s="29">
        <f>IF($L15&lt;'01_Parameter'!$B$5,"overdue",IF($L15&lt;='01_Parameter'!$B$5+'01_Parameter'!$B$6,"due_soon","ok"))</f>
        <v/>
      </c>
      <c r="O15" s="30">
        <f>COUNTIFS('03_Equipment_Unit'!$F$5:$F$20,$C15,'03_Equipment_Unit'!$G$5:$G$20,$D15,'03_Equipment_Unit'!$N$5:$N$20,"active")</f>
        <v/>
      </c>
      <c r="P15" s="29">
        <f>IF($O15&gt;1,"fleet_estimated","unit")</f>
        <v/>
      </c>
      <c r="Q15" s="35">
        <f>IF($O15&gt;1,"Pelanggan memiliki "&amp;$O15&amp;" unit aktif model ini; pembelian tidak dapat ditautkan ke unit tertentu -- sampaikan sebagai perkiraan.","Atribusi pasti: hanya 1 unit aktif dengan model ini.")</f>
        <v/>
      </c>
      <c r="R15" s="30">
        <f>IF(INDEX('05_Katalog_Servis'!$H$5:$H$14,MATCH($E15,'05_Katalog_Servis'!$A$5:$A$14,0))=0,"",INDEX('05_Katalog_Servis'!$H$5:$H$14,MATCH($E15,'05_Katalog_Servis'!$A$5:$A$14,0)))</f>
        <v/>
      </c>
      <c r="S15" s="29">
        <f>IF(INDEX('05_Katalog_Servis'!$H$5:$H$14,MATCH($E15,'05_Katalog_Servis'!$A$5:$A$14,0))=0,"",INDEX('05_Katalog_Servis'!$I$5:$I$14,MATCH($E15,'05_Katalog_Servis'!$A$5:$A$14,0)))</f>
        <v/>
      </c>
      <c r="T15" s="35">
        <f>IF(INDEX('05_Katalog_Servis'!$H$5:$H$14,MATCH($E15,'05_Katalog_Servis'!$A$5:$A$14,0))=0,"",INDEX('05_Katalog_Servis'!$J$5:$J$14,MATCH($E15,'05_Katalog_Servis'!$A$5:$A$14,0)))</f>
        <v/>
      </c>
    </row>
    <row r="16">
      <c r="A16" s="28" t="n">
        <v>403</v>
      </c>
      <c r="B16" s="29">
        <f>INDEX('03_Equipment_Unit'!$B$5:$B$20,MATCH($A16,'03_Equipment_Unit'!$A$5:$A$20,0))</f>
        <v/>
      </c>
      <c r="C16" s="30">
        <f>INDEX('03_Equipment_Unit'!$F$5:$F$20,MATCH($A16,'03_Equipment_Unit'!$A$5:$A$20,0))</f>
        <v/>
      </c>
      <c r="D16" s="30">
        <f>INDEX('03_Equipment_Unit'!$G$5:$G$20,MATCH($A16,'03_Equipment_Unit'!$A$5:$A$20,0))</f>
        <v/>
      </c>
      <c r="E16" s="28" t="n">
        <v>1182</v>
      </c>
      <c r="F16" s="29">
        <f>INDEX('05_Katalog_Servis'!$B$5:$B$14,MATCH($E16,'05_Katalog_Servis'!$A$5:$A$14,0))</f>
        <v/>
      </c>
      <c r="G16" s="30">
        <f>INDEX('05_Katalog_Servis'!$D$5:$D$14,MATCH($E16,'05_Katalog_Servis'!$A$5:$A$14,0))</f>
        <v/>
      </c>
      <c r="H16" s="31">
        <f>SUMPRODUCT(MAX(('06_Riwayat_Beli_Part'!$B$5:$B$17=$C16)*('06_Riwayat_Beli_Part'!$F$5:$F$17=$E16)*'06_Riwayat_Beli_Part'!$E$5:$E$17))</f>
        <v/>
      </c>
      <c r="I16" s="32">
        <f>INDEX('03_Equipment_Unit'!$K$5:$K$20,MATCH($A16,'03_Equipment_Unit'!$A$5:$A$20,0))</f>
        <v/>
      </c>
      <c r="J16" s="29">
        <f>IF($H16=0,"install_date","last_purchase")</f>
        <v/>
      </c>
      <c r="K16" s="33">
        <f>IF($H16=0,$I16,$H16)</f>
        <v/>
      </c>
      <c r="L16" s="33">
        <f>EDATE($K16,$G16)</f>
        <v/>
      </c>
      <c r="M16" s="34">
        <f>IF($L16&lt;'01_Parameter'!$B$5,'01_Parameter'!$B$5-$L16,0)</f>
        <v/>
      </c>
      <c r="N16" s="29">
        <f>IF($L16&lt;'01_Parameter'!$B$5,"overdue",IF($L16&lt;='01_Parameter'!$B$5+'01_Parameter'!$B$6,"due_soon","ok"))</f>
        <v/>
      </c>
      <c r="O16" s="30">
        <f>COUNTIFS('03_Equipment_Unit'!$F$5:$F$20,$C16,'03_Equipment_Unit'!$G$5:$G$20,$D16,'03_Equipment_Unit'!$N$5:$N$20,"active")</f>
        <v/>
      </c>
      <c r="P16" s="29">
        <f>IF($O16&gt;1,"fleet_estimated","unit")</f>
        <v/>
      </c>
      <c r="Q16" s="35">
        <f>IF($O16&gt;1,"Pelanggan memiliki "&amp;$O16&amp;" unit aktif model ini; pembelian tidak dapat ditautkan ke unit tertentu -- sampaikan sebagai perkiraan.","Atribusi pasti: hanya 1 unit aktif dengan model ini.")</f>
        <v/>
      </c>
      <c r="R16" s="30">
        <f>IF(INDEX('05_Katalog_Servis'!$H$5:$H$14,MATCH($E16,'05_Katalog_Servis'!$A$5:$A$14,0))=0,"",INDEX('05_Katalog_Servis'!$H$5:$H$14,MATCH($E16,'05_Katalog_Servis'!$A$5:$A$14,0)))</f>
        <v/>
      </c>
      <c r="S16" s="29">
        <f>IF(INDEX('05_Katalog_Servis'!$H$5:$H$14,MATCH($E16,'05_Katalog_Servis'!$A$5:$A$14,0))=0,"",INDEX('05_Katalog_Servis'!$I$5:$I$14,MATCH($E16,'05_Katalog_Servis'!$A$5:$A$14,0)))</f>
        <v/>
      </c>
      <c r="T16" s="35">
        <f>IF(INDEX('05_Katalog_Servis'!$H$5:$H$14,MATCH($E16,'05_Katalog_Servis'!$A$5:$A$14,0))=0,"",INDEX('05_Katalog_Servis'!$J$5:$J$14,MATCH($E16,'05_Katalog_Servis'!$A$5:$A$14,0)))</f>
        <v/>
      </c>
    </row>
    <row r="17">
      <c r="A17" s="28" t="n">
        <v>403</v>
      </c>
      <c r="B17" s="29">
        <f>INDEX('03_Equipment_Unit'!$B$5:$B$20,MATCH($A17,'03_Equipment_Unit'!$A$5:$A$20,0))</f>
        <v/>
      </c>
      <c r="C17" s="30">
        <f>INDEX('03_Equipment_Unit'!$F$5:$F$20,MATCH($A17,'03_Equipment_Unit'!$A$5:$A$20,0))</f>
        <v/>
      </c>
      <c r="D17" s="30">
        <f>INDEX('03_Equipment_Unit'!$G$5:$G$20,MATCH($A17,'03_Equipment_Unit'!$A$5:$A$20,0))</f>
        <v/>
      </c>
      <c r="E17" s="28" t="n">
        <v>1185</v>
      </c>
      <c r="F17" s="29">
        <f>INDEX('05_Katalog_Servis'!$B$5:$B$14,MATCH($E17,'05_Katalog_Servis'!$A$5:$A$14,0))</f>
        <v/>
      </c>
      <c r="G17" s="30">
        <f>INDEX('05_Katalog_Servis'!$D$5:$D$14,MATCH($E17,'05_Katalog_Servis'!$A$5:$A$14,0))</f>
        <v/>
      </c>
      <c r="H17" s="31">
        <f>SUMPRODUCT(MAX(('06_Riwayat_Beli_Part'!$B$5:$B$17=$C17)*('06_Riwayat_Beli_Part'!$F$5:$F$17=$E17)*'06_Riwayat_Beli_Part'!$E$5:$E$17))</f>
        <v/>
      </c>
      <c r="I17" s="32">
        <f>INDEX('03_Equipment_Unit'!$K$5:$K$20,MATCH($A17,'03_Equipment_Unit'!$A$5:$A$20,0))</f>
        <v/>
      </c>
      <c r="J17" s="29">
        <f>IF($H17=0,"install_date","last_purchase")</f>
        <v/>
      </c>
      <c r="K17" s="33">
        <f>IF($H17=0,$I17,$H17)</f>
        <v/>
      </c>
      <c r="L17" s="33">
        <f>EDATE($K17,$G17)</f>
        <v/>
      </c>
      <c r="M17" s="34">
        <f>IF($L17&lt;'01_Parameter'!$B$5,'01_Parameter'!$B$5-$L17,0)</f>
        <v/>
      </c>
      <c r="N17" s="29">
        <f>IF($L17&lt;'01_Parameter'!$B$5,"overdue",IF($L17&lt;='01_Parameter'!$B$5+'01_Parameter'!$B$6,"due_soon","ok"))</f>
        <v/>
      </c>
      <c r="O17" s="30">
        <f>COUNTIFS('03_Equipment_Unit'!$F$5:$F$20,$C17,'03_Equipment_Unit'!$G$5:$G$20,$D17,'03_Equipment_Unit'!$N$5:$N$20,"active")</f>
        <v/>
      </c>
      <c r="P17" s="29">
        <f>IF($O17&gt;1,"fleet_estimated","unit")</f>
        <v/>
      </c>
      <c r="Q17" s="35">
        <f>IF($O17&gt;1,"Pelanggan memiliki "&amp;$O17&amp;" unit aktif model ini; pembelian tidak dapat ditautkan ke unit tertentu -- sampaikan sebagai perkiraan.","Atribusi pasti: hanya 1 unit aktif dengan model ini.")</f>
        <v/>
      </c>
      <c r="R17" s="30">
        <f>IF(INDEX('05_Katalog_Servis'!$H$5:$H$14,MATCH($E17,'05_Katalog_Servis'!$A$5:$A$14,0))=0,"",INDEX('05_Katalog_Servis'!$H$5:$H$14,MATCH($E17,'05_Katalog_Servis'!$A$5:$A$14,0)))</f>
        <v/>
      </c>
      <c r="S17" s="29">
        <f>IF(INDEX('05_Katalog_Servis'!$H$5:$H$14,MATCH($E17,'05_Katalog_Servis'!$A$5:$A$14,0))=0,"",INDEX('05_Katalog_Servis'!$I$5:$I$14,MATCH($E17,'05_Katalog_Servis'!$A$5:$A$14,0)))</f>
        <v/>
      </c>
      <c r="T17" s="35">
        <f>IF(INDEX('05_Katalog_Servis'!$H$5:$H$14,MATCH($E17,'05_Katalog_Servis'!$A$5:$A$14,0))=0,"",INDEX('05_Katalog_Servis'!$J$5:$J$14,MATCH($E17,'05_Katalog_Servis'!$A$5:$A$14,0)))</f>
        <v/>
      </c>
    </row>
    <row r="18">
      <c r="A18" s="28" t="n">
        <v>403</v>
      </c>
      <c r="B18" s="29">
        <f>INDEX('03_Equipment_Unit'!$B$5:$B$20,MATCH($A18,'03_Equipment_Unit'!$A$5:$A$20,0))</f>
        <v/>
      </c>
      <c r="C18" s="30">
        <f>INDEX('03_Equipment_Unit'!$F$5:$F$20,MATCH($A18,'03_Equipment_Unit'!$A$5:$A$20,0))</f>
        <v/>
      </c>
      <c r="D18" s="30">
        <f>INDEX('03_Equipment_Unit'!$G$5:$G$20,MATCH($A18,'03_Equipment_Unit'!$A$5:$A$20,0))</f>
        <v/>
      </c>
      <c r="E18" s="28" t="n">
        <v>1190</v>
      </c>
      <c r="F18" s="29">
        <f>INDEX('05_Katalog_Servis'!$B$5:$B$14,MATCH($E18,'05_Katalog_Servis'!$A$5:$A$14,0))</f>
        <v/>
      </c>
      <c r="G18" s="30">
        <f>INDEX('05_Katalog_Servis'!$D$5:$D$14,MATCH($E18,'05_Katalog_Servis'!$A$5:$A$14,0))</f>
        <v/>
      </c>
      <c r="H18" s="31">
        <f>SUMPRODUCT(MAX(('06_Riwayat_Beli_Part'!$B$5:$B$17=$C18)*('06_Riwayat_Beli_Part'!$F$5:$F$17=$E18)*'06_Riwayat_Beli_Part'!$E$5:$E$17))</f>
        <v/>
      </c>
      <c r="I18" s="32">
        <f>INDEX('03_Equipment_Unit'!$K$5:$K$20,MATCH($A18,'03_Equipment_Unit'!$A$5:$A$20,0))</f>
        <v/>
      </c>
      <c r="J18" s="29">
        <f>IF($H18=0,"install_date","last_purchase")</f>
        <v/>
      </c>
      <c r="K18" s="33">
        <f>IF($H18=0,$I18,$H18)</f>
        <v/>
      </c>
      <c r="L18" s="33">
        <f>EDATE($K18,$G18)</f>
        <v/>
      </c>
      <c r="M18" s="34">
        <f>IF($L18&lt;'01_Parameter'!$B$5,'01_Parameter'!$B$5-$L18,0)</f>
        <v/>
      </c>
      <c r="N18" s="29">
        <f>IF($L18&lt;'01_Parameter'!$B$5,"overdue",IF($L18&lt;='01_Parameter'!$B$5+'01_Parameter'!$B$6,"due_soon","ok"))</f>
        <v/>
      </c>
      <c r="O18" s="30">
        <f>COUNTIFS('03_Equipment_Unit'!$F$5:$F$20,$C18,'03_Equipment_Unit'!$G$5:$G$20,$D18,'03_Equipment_Unit'!$N$5:$N$20,"active")</f>
        <v/>
      </c>
      <c r="P18" s="29">
        <f>IF($O18&gt;1,"fleet_estimated","unit")</f>
        <v/>
      </c>
      <c r="Q18" s="35">
        <f>IF($O18&gt;1,"Pelanggan memiliki "&amp;$O18&amp;" unit aktif model ini; pembelian tidak dapat ditautkan ke unit tertentu -- sampaikan sebagai perkiraan.","Atribusi pasti: hanya 1 unit aktif dengan model ini.")</f>
        <v/>
      </c>
      <c r="R18" s="30">
        <f>IF(INDEX('05_Katalog_Servis'!$H$5:$H$14,MATCH($E18,'05_Katalog_Servis'!$A$5:$A$14,0))=0,"",INDEX('05_Katalog_Servis'!$H$5:$H$14,MATCH($E18,'05_Katalog_Servis'!$A$5:$A$14,0)))</f>
        <v/>
      </c>
      <c r="S18" s="29">
        <f>IF(INDEX('05_Katalog_Servis'!$H$5:$H$14,MATCH($E18,'05_Katalog_Servis'!$A$5:$A$14,0))=0,"",INDEX('05_Katalog_Servis'!$I$5:$I$14,MATCH($E18,'05_Katalog_Servis'!$A$5:$A$14,0)))</f>
        <v/>
      </c>
      <c r="T18" s="35">
        <f>IF(INDEX('05_Katalog_Servis'!$H$5:$H$14,MATCH($E18,'05_Katalog_Servis'!$A$5:$A$14,0))=0,"",INDEX('05_Katalog_Servis'!$J$5:$J$14,MATCH($E18,'05_Katalog_Servis'!$A$5:$A$14,0)))</f>
        <v/>
      </c>
    </row>
    <row r="19">
      <c r="A19" s="28" t="n">
        <v>403</v>
      </c>
      <c r="B19" s="29">
        <f>INDEX('03_Equipment_Unit'!$B$5:$B$20,MATCH($A19,'03_Equipment_Unit'!$A$5:$A$20,0))</f>
        <v/>
      </c>
      <c r="C19" s="30">
        <f>INDEX('03_Equipment_Unit'!$F$5:$F$20,MATCH($A19,'03_Equipment_Unit'!$A$5:$A$20,0))</f>
        <v/>
      </c>
      <c r="D19" s="30">
        <f>INDEX('03_Equipment_Unit'!$G$5:$G$20,MATCH($A19,'03_Equipment_Unit'!$A$5:$A$20,0))</f>
        <v/>
      </c>
      <c r="E19" s="28" t="n">
        <v>1192</v>
      </c>
      <c r="F19" s="29">
        <f>INDEX('05_Katalog_Servis'!$B$5:$B$14,MATCH($E19,'05_Katalog_Servis'!$A$5:$A$14,0))</f>
        <v/>
      </c>
      <c r="G19" s="30">
        <f>INDEX('05_Katalog_Servis'!$D$5:$D$14,MATCH($E19,'05_Katalog_Servis'!$A$5:$A$14,0))</f>
        <v/>
      </c>
      <c r="H19" s="31">
        <f>SUMPRODUCT(MAX(('06_Riwayat_Beli_Part'!$B$5:$B$17=$C19)*('06_Riwayat_Beli_Part'!$F$5:$F$17=$E19)*'06_Riwayat_Beli_Part'!$E$5:$E$17))</f>
        <v/>
      </c>
      <c r="I19" s="32">
        <f>INDEX('03_Equipment_Unit'!$K$5:$K$20,MATCH($A19,'03_Equipment_Unit'!$A$5:$A$20,0))</f>
        <v/>
      </c>
      <c r="J19" s="29">
        <f>IF($H19=0,"install_date","last_purchase")</f>
        <v/>
      </c>
      <c r="K19" s="33">
        <f>IF($H19=0,$I19,$H19)</f>
        <v/>
      </c>
      <c r="L19" s="33">
        <f>EDATE($K19,$G19)</f>
        <v/>
      </c>
      <c r="M19" s="34">
        <f>IF($L19&lt;'01_Parameter'!$B$5,'01_Parameter'!$B$5-$L19,0)</f>
        <v/>
      </c>
      <c r="N19" s="29">
        <f>IF($L19&lt;'01_Parameter'!$B$5,"overdue",IF($L19&lt;='01_Parameter'!$B$5+'01_Parameter'!$B$6,"due_soon","ok"))</f>
        <v/>
      </c>
      <c r="O19" s="30">
        <f>COUNTIFS('03_Equipment_Unit'!$F$5:$F$20,$C19,'03_Equipment_Unit'!$G$5:$G$20,$D19,'03_Equipment_Unit'!$N$5:$N$20,"active")</f>
        <v/>
      </c>
      <c r="P19" s="29">
        <f>IF($O19&gt;1,"fleet_estimated","unit")</f>
        <v/>
      </c>
      <c r="Q19" s="35">
        <f>IF($O19&gt;1,"Pelanggan memiliki "&amp;$O19&amp;" unit aktif model ini; pembelian tidak dapat ditautkan ke unit tertentu -- sampaikan sebagai perkiraan.","Atribusi pasti: hanya 1 unit aktif dengan model ini.")</f>
        <v/>
      </c>
      <c r="R19" s="30">
        <f>IF(INDEX('05_Katalog_Servis'!$H$5:$H$14,MATCH($E19,'05_Katalog_Servis'!$A$5:$A$14,0))=0,"",INDEX('05_Katalog_Servis'!$H$5:$H$14,MATCH($E19,'05_Katalog_Servis'!$A$5:$A$14,0)))</f>
        <v/>
      </c>
      <c r="S19" s="29">
        <f>IF(INDEX('05_Katalog_Servis'!$H$5:$H$14,MATCH($E19,'05_Katalog_Servis'!$A$5:$A$14,0))=0,"",INDEX('05_Katalog_Servis'!$I$5:$I$14,MATCH($E19,'05_Katalog_Servis'!$A$5:$A$14,0)))</f>
        <v/>
      </c>
      <c r="T19" s="35">
        <f>IF(INDEX('05_Katalog_Servis'!$H$5:$H$14,MATCH($E19,'05_Katalog_Servis'!$A$5:$A$14,0))=0,"",INDEX('05_Katalog_Servis'!$J$5:$J$14,MATCH($E19,'05_Katalog_Servis'!$A$5:$A$14,0)))</f>
        <v/>
      </c>
    </row>
    <row r="20">
      <c r="A20" s="28" t="n">
        <v>404</v>
      </c>
      <c r="B20" s="29">
        <f>INDEX('03_Equipment_Unit'!$B$5:$B$20,MATCH($A20,'03_Equipment_Unit'!$A$5:$A$20,0))</f>
        <v/>
      </c>
      <c r="C20" s="30">
        <f>INDEX('03_Equipment_Unit'!$F$5:$F$20,MATCH($A20,'03_Equipment_Unit'!$A$5:$A$20,0))</f>
        <v/>
      </c>
      <c r="D20" s="30">
        <f>INDEX('03_Equipment_Unit'!$G$5:$G$20,MATCH($A20,'03_Equipment_Unit'!$A$5:$A$20,0))</f>
        <v/>
      </c>
      <c r="E20" s="28" t="n">
        <v>1180</v>
      </c>
      <c r="F20" s="29">
        <f>INDEX('05_Katalog_Servis'!$B$5:$B$14,MATCH($E20,'05_Katalog_Servis'!$A$5:$A$14,0))</f>
        <v/>
      </c>
      <c r="G20" s="30">
        <f>INDEX('05_Katalog_Servis'!$D$5:$D$14,MATCH($E20,'05_Katalog_Servis'!$A$5:$A$14,0))</f>
        <v/>
      </c>
      <c r="H20" s="31">
        <f>SUMPRODUCT(MAX(('06_Riwayat_Beli_Part'!$B$5:$B$17=$C20)*('06_Riwayat_Beli_Part'!$F$5:$F$17=$E20)*'06_Riwayat_Beli_Part'!$E$5:$E$17))</f>
        <v/>
      </c>
      <c r="I20" s="32">
        <f>INDEX('03_Equipment_Unit'!$K$5:$K$20,MATCH($A20,'03_Equipment_Unit'!$A$5:$A$20,0))</f>
        <v/>
      </c>
      <c r="J20" s="29">
        <f>IF($H20=0,"install_date","last_purchase")</f>
        <v/>
      </c>
      <c r="K20" s="33">
        <f>IF($H20=0,$I20,$H20)</f>
        <v/>
      </c>
      <c r="L20" s="33">
        <f>EDATE($K20,$G20)</f>
        <v/>
      </c>
      <c r="M20" s="34">
        <f>IF($L20&lt;'01_Parameter'!$B$5,'01_Parameter'!$B$5-$L20,0)</f>
        <v/>
      </c>
      <c r="N20" s="29">
        <f>IF($L20&lt;'01_Parameter'!$B$5,"overdue",IF($L20&lt;='01_Parameter'!$B$5+'01_Parameter'!$B$6,"due_soon","ok"))</f>
        <v/>
      </c>
      <c r="O20" s="30">
        <f>COUNTIFS('03_Equipment_Unit'!$F$5:$F$20,$C20,'03_Equipment_Unit'!$G$5:$G$20,$D20,'03_Equipment_Unit'!$N$5:$N$20,"active")</f>
        <v/>
      </c>
      <c r="P20" s="29">
        <f>IF($O20&gt;1,"fleet_estimated","unit")</f>
        <v/>
      </c>
      <c r="Q20" s="35">
        <f>IF($O20&gt;1,"Pelanggan memiliki "&amp;$O20&amp;" unit aktif model ini; pembelian tidak dapat ditautkan ke unit tertentu -- sampaikan sebagai perkiraan.","Atribusi pasti: hanya 1 unit aktif dengan model ini.")</f>
        <v/>
      </c>
      <c r="R20" s="30">
        <f>IF(INDEX('05_Katalog_Servis'!$H$5:$H$14,MATCH($E20,'05_Katalog_Servis'!$A$5:$A$14,0))=0,"",INDEX('05_Katalog_Servis'!$H$5:$H$14,MATCH($E20,'05_Katalog_Servis'!$A$5:$A$14,0)))</f>
        <v/>
      </c>
      <c r="S20" s="29">
        <f>IF(INDEX('05_Katalog_Servis'!$H$5:$H$14,MATCH($E20,'05_Katalog_Servis'!$A$5:$A$14,0))=0,"",INDEX('05_Katalog_Servis'!$I$5:$I$14,MATCH($E20,'05_Katalog_Servis'!$A$5:$A$14,0)))</f>
        <v/>
      </c>
      <c r="T20" s="35">
        <f>IF(INDEX('05_Katalog_Servis'!$H$5:$H$14,MATCH($E20,'05_Katalog_Servis'!$A$5:$A$14,0))=0,"",INDEX('05_Katalog_Servis'!$J$5:$J$14,MATCH($E20,'05_Katalog_Servis'!$A$5:$A$14,0)))</f>
        <v/>
      </c>
    </row>
    <row r="21">
      <c r="A21" s="28" t="n">
        <v>404</v>
      </c>
      <c r="B21" s="29">
        <f>INDEX('03_Equipment_Unit'!$B$5:$B$20,MATCH($A21,'03_Equipment_Unit'!$A$5:$A$20,0))</f>
        <v/>
      </c>
      <c r="C21" s="30">
        <f>INDEX('03_Equipment_Unit'!$F$5:$F$20,MATCH($A21,'03_Equipment_Unit'!$A$5:$A$20,0))</f>
        <v/>
      </c>
      <c r="D21" s="30">
        <f>INDEX('03_Equipment_Unit'!$G$5:$G$20,MATCH($A21,'03_Equipment_Unit'!$A$5:$A$20,0))</f>
        <v/>
      </c>
      <c r="E21" s="28" t="n">
        <v>1182</v>
      </c>
      <c r="F21" s="29">
        <f>INDEX('05_Katalog_Servis'!$B$5:$B$14,MATCH($E21,'05_Katalog_Servis'!$A$5:$A$14,0))</f>
        <v/>
      </c>
      <c r="G21" s="30">
        <f>INDEX('05_Katalog_Servis'!$D$5:$D$14,MATCH($E21,'05_Katalog_Servis'!$A$5:$A$14,0))</f>
        <v/>
      </c>
      <c r="H21" s="31">
        <f>SUMPRODUCT(MAX(('06_Riwayat_Beli_Part'!$B$5:$B$17=$C21)*('06_Riwayat_Beli_Part'!$F$5:$F$17=$E21)*'06_Riwayat_Beli_Part'!$E$5:$E$17))</f>
        <v/>
      </c>
      <c r="I21" s="32">
        <f>INDEX('03_Equipment_Unit'!$K$5:$K$20,MATCH($A21,'03_Equipment_Unit'!$A$5:$A$20,0))</f>
        <v/>
      </c>
      <c r="J21" s="29">
        <f>IF($H21=0,"install_date","last_purchase")</f>
        <v/>
      </c>
      <c r="K21" s="33">
        <f>IF($H21=0,$I21,$H21)</f>
        <v/>
      </c>
      <c r="L21" s="33">
        <f>EDATE($K21,$G21)</f>
        <v/>
      </c>
      <c r="M21" s="34">
        <f>IF($L21&lt;'01_Parameter'!$B$5,'01_Parameter'!$B$5-$L21,0)</f>
        <v/>
      </c>
      <c r="N21" s="29">
        <f>IF($L21&lt;'01_Parameter'!$B$5,"overdue",IF($L21&lt;='01_Parameter'!$B$5+'01_Parameter'!$B$6,"due_soon","ok"))</f>
        <v/>
      </c>
      <c r="O21" s="30">
        <f>COUNTIFS('03_Equipment_Unit'!$F$5:$F$20,$C21,'03_Equipment_Unit'!$G$5:$G$20,$D21,'03_Equipment_Unit'!$N$5:$N$20,"active")</f>
        <v/>
      </c>
      <c r="P21" s="29">
        <f>IF($O21&gt;1,"fleet_estimated","unit")</f>
        <v/>
      </c>
      <c r="Q21" s="35">
        <f>IF($O21&gt;1,"Pelanggan memiliki "&amp;$O21&amp;" unit aktif model ini; pembelian tidak dapat ditautkan ke unit tertentu -- sampaikan sebagai perkiraan.","Atribusi pasti: hanya 1 unit aktif dengan model ini.")</f>
        <v/>
      </c>
      <c r="R21" s="30">
        <f>IF(INDEX('05_Katalog_Servis'!$H$5:$H$14,MATCH($E21,'05_Katalog_Servis'!$A$5:$A$14,0))=0,"",INDEX('05_Katalog_Servis'!$H$5:$H$14,MATCH($E21,'05_Katalog_Servis'!$A$5:$A$14,0)))</f>
        <v/>
      </c>
      <c r="S21" s="29">
        <f>IF(INDEX('05_Katalog_Servis'!$H$5:$H$14,MATCH($E21,'05_Katalog_Servis'!$A$5:$A$14,0))=0,"",INDEX('05_Katalog_Servis'!$I$5:$I$14,MATCH($E21,'05_Katalog_Servis'!$A$5:$A$14,0)))</f>
        <v/>
      </c>
      <c r="T21" s="35">
        <f>IF(INDEX('05_Katalog_Servis'!$H$5:$H$14,MATCH($E21,'05_Katalog_Servis'!$A$5:$A$14,0))=0,"",INDEX('05_Katalog_Servis'!$J$5:$J$14,MATCH($E21,'05_Katalog_Servis'!$A$5:$A$14,0)))</f>
        <v/>
      </c>
    </row>
    <row r="22">
      <c r="A22" s="28" t="n">
        <v>404</v>
      </c>
      <c r="B22" s="29">
        <f>INDEX('03_Equipment_Unit'!$B$5:$B$20,MATCH($A22,'03_Equipment_Unit'!$A$5:$A$20,0))</f>
        <v/>
      </c>
      <c r="C22" s="30">
        <f>INDEX('03_Equipment_Unit'!$F$5:$F$20,MATCH($A22,'03_Equipment_Unit'!$A$5:$A$20,0))</f>
        <v/>
      </c>
      <c r="D22" s="30">
        <f>INDEX('03_Equipment_Unit'!$G$5:$G$20,MATCH($A22,'03_Equipment_Unit'!$A$5:$A$20,0))</f>
        <v/>
      </c>
      <c r="E22" s="28" t="n">
        <v>1185</v>
      </c>
      <c r="F22" s="29">
        <f>INDEX('05_Katalog_Servis'!$B$5:$B$14,MATCH($E22,'05_Katalog_Servis'!$A$5:$A$14,0))</f>
        <v/>
      </c>
      <c r="G22" s="30">
        <f>INDEX('05_Katalog_Servis'!$D$5:$D$14,MATCH($E22,'05_Katalog_Servis'!$A$5:$A$14,0))</f>
        <v/>
      </c>
      <c r="H22" s="31">
        <f>SUMPRODUCT(MAX(('06_Riwayat_Beli_Part'!$B$5:$B$17=$C22)*('06_Riwayat_Beli_Part'!$F$5:$F$17=$E22)*'06_Riwayat_Beli_Part'!$E$5:$E$17))</f>
        <v/>
      </c>
      <c r="I22" s="32">
        <f>INDEX('03_Equipment_Unit'!$K$5:$K$20,MATCH($A22,'03_Equipment_Unit'!$A$5:$A$20,0))</f>
        <v/>
      </c>
      <c r="J22" s="29">
        <f>IF($H22=0,"install_date","last_purchase")</f>
        <v/>
      </c>
      <c r="K22" s="33">
        <f>IF($H22=0,$I22,$H22)</f>
        <v/>
      </c>
      <c r="L22" s="33">
        <f>EDATE($K22,$G22)</f>
        <v/>
      </c>
      <c r="M22" s="34">
        <f>IF($L22&lt;'01_Parameter'!$B$5,'01_Parameter'!$B$5-$L22,0)</f>
        <v/>
      </c>
      <c r="N22" s="29">
        <f>IF($L22&lt;'01_Parameter'!$B$5,"overdue",IF($L22&lt;='01_Parameter'!$B$5+'01_Parameter'!$B$6,"due_soon","ok"))</f>
        <v/>
      </c>
      <c r="O22" s="30">
        <f>COUNTIFS('03_Equipment_Unit'!$F$5:$F$20,$C22,'03_Equipment_Unit'!$G$5:$G$20,$D22,'03_Equipment_Unit'!$N$5:$N$20,"active")</f>
        <v/>
      </c>
      <c r="P22" s="29">
        <f>IF($O22&gt;1,"fleet_estimated","unit")</f>
        <v/>
      </c>
      <c r="Q22" s="35">
        <f>IF($O22&gt;1,"Pelanggan memiliki "&amp;$O22&amp;" unit aktif model ini; pembelian tidak dapat ditautkan ke unit tertentu -- sampaikan sebagai perkiraan.","Atribusi pasti: hanya 1 unit aktif dengan model ini.")</f>
        <v/>
      </c>
      <c r="R22" s="30">
        <f>IF(INDEX('05_Katalog_Servis'!$H$5:$H$14,MATCH($E22,'05_Katalog_Servis'!$A$5:$A$14,0))=0,"",INDEX('05_Katalog_Servis'!$H$5:$H$14,MATCH($E22,'05_Katalog_Servis'!$A$5:$A$14,0)))</f>
        <v/>
      </c>
      <c r="S22" s="29">
        <f>IF(INDEX('05_Katalog_Servis'!$H$5:$H$14,MATCH($E22,'05_Katalog_Servis'!$A$5:$A$14,0))=0,"",INDEX('05_Katalog_Servis'!$I$5:$I$14,MATCH($E22,'05_Katalog_Servis'!$A$5:$A$14,0)))</f>
        <v/>
      </c>
      <c r="T22" s="35">
        <f>IF(INDEX('05_Katalog_Servis'!$H$5:$H$14,MATCH($E22,'05_Katalog_Servis'!$A$5:$A$14,0))=0,"",INDEX('05_Katalog_Servis'!$J$5:$J$14,MATCH($E22,'05_Katalog_Servis'!$A$5:$A$14,0)))</f>
        <v/>
      </c>
    </row>
    <row r="23">
      <c r="A23" s="28" t="n">
        <v>404</v>
      </c>
      <c r="B23" s="29">
        <f>INDEX('03_Equipment_Unit'!$B$5:$B$20,MATCH($A23,'03_Equipment_Unit'!$A$5:$A$20,0))</f>
        <v/>
      </c>
      <c r="C23" s="30">
        <f>INDEX('03_Equipment_Unit'!$F$5:$F$20,MATCH($A23,'03_Equipment_Unit'!$A$5:$A$20,0))</f>
        <v/>
      </c>
      <c r="D23" s="30">
        <f>INDEX('03_Equipment_Unit'!$G$5:$G$20,MATCH($A23,'03_Equipment_Unit'!$A$5:$A$20,0))</f>
        <v/>
      </c>
      <c r="E23" s="28" t="n">
        <v>1190</v>
      </c>
      <c r="F23" s="29">
        <f>INDEX('05_Katalog_Servis'!$B$5:$B$14,MATCH($E23,'05_Katalog_Servis'!$A$5:$A$14,0))</f>
        <v/>
      </c>
      <c r="G23" s="30">
        <f>INDEX('05_Katalog_Servis'!$D$5:$D$14,MATCH($E23,'05_Katalog_Servis'!$A$5:$A$14,0))</f>
        <v/>
      </c>
      <c r="H23" s="31">
        <f>SUMPRODUCT(MAX(('06_Riwayat_Beli_Part'!$B$5:$B$17=$C23)*('06_Riwayat_Beli_Part'!$F$5:$F$17=$E23)*'06_Riwayat_Beli_Part'!$E$5:$E$17))</f>
        <v/>
      </c>
      <c r="I23" s="32">
        <f>INDEX('03_Equipment_Unit'!$K$5:$K$20,MATCH($A23,'03_Equipment_Unit'!$A$5:$A$20,0))</f>
        <v/>
      </c>
      <c r="J23" s="29">
        <f>IF($H23=0,"install_date","last_purchase")</f>
        <v/>
      </c>
      <c r="K23" s="33">
        <f>IF($H23=0,$I23,$H23)</f>
        <v/>
      </c>
      <c r="L23" s="33">
        <f>EDATE($K23,$G23)</f>
        <v/>
      </c>
      <c r="M23" s="34">
        <f>IF($L23&lt;'01_Parameter'!$B$5,'01_Parameter'!$B$5-$L23,0)</f>
        <v/>
      </c>
      <c r="N23" s="29">
        <f>IF($L23&lt;'01_Parameter'!$B$5,"overdue",IF($L23&lt;='01_Parameter'!$B$5+'01_Parameter'!$B$6,"due_soon","ok"))</f>
        <v/>
      </c>
      <c r="O23" s="30">
        <f>COUNTIFS('03_Equipment_Unit'!$F$5:$F$20,$C23,'03_Equipment_Unit'!$G$5:$G$20,$D23,'03_Equipment_Unit'!$N$5:$N$20,"active")</f>
        <v/>
      </c>
      <c r="P23" s="29">
        <f>IF($O23&gt;1,"fleet_estimated","unit")</f>
        <v/>
      </c>
      <c r="Q23" s="35">
        <f>IF($O23&gt;1,"Pelanggan memiliki "&amp;$O23&amp;" unit aktif model ini; pembelian tidak dapat ditautkan ke unit tertentu -- sampaikan sebagai perkiraan.","Atribusi pasti: hanya 1 unit aktif dengan model ini.")</f>
        <v/>
      </c>
      <c r="R23" s="30">
        <f>IF(INDEX('05_Katalog_Servis'!$H$5:$H$14,MATCH($E23,'05_Katalog_Servis'!$A$5:$A$14,0))=0,"",INDEX('05_Katalog_Servis'!$H$5:$H$14,MATCH($E23,'05_Katalog_Servis'!$A$5:$A$14,0)))</f>
        <v/>
      </c>
      <c r="S23" s="29">
        <f>IF(INDEX('05_Katalog_Servis'!$H$5:$H$14,MATCH($E23,'05_Katalog_Servis'!$A$5:$A$14,0))=0,"",INDEX('05_Katalog_Servis'!$I$5:$I$14,MATCH($E23,'05_Katalog_Servis'!$A$5:$A$14,0)))</f>
        <v/>
      </c>
      <c r="T23" s="35">
        <f>IF(INDEX('05_Katalog_Servis'!$H$5:$H$14,MATCH($E23,'05_Katalog_Servis'!$A$5:$A$14,0))=0,"",INDEX('05_Katalog_Servis'!$J$5:$J$14,MATCH($E23,'05_Katalog_Servis'!$A$5:$A$14,0)))</f>
        <v/>
      </c>
    </row>
    <row r="24">
      <c r="A24" s="28" t="n">
        <v>404</v>
      </c>
      <c r="B24" s="29">
        <f>INDEX('03_Equipment_Unit'!$B$5:$B$20,MATCH($A24,'03_Equipment_Unit'!$A$5:$A$20,0))</f>
        <v/>
      </c>
      <c r="C24" s="30">
        <f>INDEX('03_Equipment_Unit'!$F$5:$F$20,MATCH($A24,'03_Equipment_Unit'!$A$5:$A$20,0))</f>
        <v/>
      </c>
      <c r="D24" s="30">
        <f>INDEX('03_Equipment_Unit'!$G$5:$G$20,MATCH($A24,'03_Equipment_Unit'!$A$5:$A$20,0))</f>
        <v/>
      </c>
      <c r="E24" s="28" t="n">
        <v>1192</v>
      </c>
      <c r="F24" s="29">
        <f>INDEX('05_Katalog_Servis'!$B$5:$B$14,MATCH($E24,'05_Katalog_Servis'!$A$5:$A$14,0))</f>
        <v/>
      </c>
      <c r="G24" s="30">
        <f>INDEX('05_Katalog_Servis'!$D$5:$D$14,MATCH($E24,'05_Katalog_Servis'!$A$5:$A$14,0))</f>
        <v/>
      </c>
      <c r="H24" s="31">
        <f>SUMPRODUCT(MAX(('06_Riwayat_Beli_Part'!$B$5:$B$17=$C24)*('06_Riwayat_Beli_Part'!$F$5:$F$17=$E24)*'06_Riwayat_Beli_Part'!$E$5:$E$17))</f>
        <v/>
      </c>
      <c r="I24" s="32">
        <f>INDEX('03_Equipment_Unit'!$K$5:$K$20,MATCH($A24,'03_Equipment_Unit'!$A$5:$A$20,0))</f>
        <v/>
      </c>
      <c r="J24" s="29">
        <f>IF($H24=0,"install_date","last_purchase")</f>
        <v/>
      </c>
      <c r="K24" s="33">
        <f>IF($H24=0,$I24,$H24)</f>
        <v/>
      </c>
      <c r="L24" s="33">
        <f>EDATE($K24,$G24)</f>
        <v/>
      </c>
      <c r="M24" s="34">
        <f>IF($L24&lt;'01_Parameter'!$B$5,'01_Parameter'!$B$5-$L24,0)</f>
        <v/>
      </c>
      <c r="N24" s="29">
        <f>IF($L24&lt;'01_Parameter'!$B$5,"overdue",IF($L24&lt;='01_Parameter'!$B$5+'01_Parameter'!$B$6,"due_soon","ok"))</f>
        <v/>
      </c>
      <c r="O24" s="30">
        <f>COUNTIFS('03_Equipment_Unit'!$F$5:$F$20,$C24,'03_Equipment_Unit'!$G$5:$G$20,$D24,'03_Equipment_Unit'!$N$5:$N$20,"active")</f>
        <v/>
      </c>
      <c r="P24" s="29">
        <f>IF($O24&gt;1,"fleet_estimated","unit")</f>
        <v/>
      </c>
      <c r="Q24" s="35">
        <f>IF($O24&gt;1,"Pelanggan memiliki "&amp;$O24&amp;" unit aktif model ini; pembelian tidak dapat ditautkan ke unit tertentu -- sampaikan sebagai perkiraan.","Atribusi pasti: hanya 1 unit aktif dengan model ini.")</f>
        <v/>
      </c>
      <c r="R24" s="30">
        <f>IF(INDEX('05_Katalog_Servis'!$H$5:$H$14,MATCH($E24,'05_Katalog_Servis'!$A$5:$A$14,0))=0,"",INDEX('05_Katalog_Servis'!$H$5:$H$14,MATCH($E24,'05_Katalog_Servis'!$A$5:$A$14,0)))</f>
        <v/>
      </c>
      <c r="S24" s="29">
        <f>IF(INDEX('05_Katalog_Servis'!$H$5:$H$14,MATCH($E24,'05_Katalog_Servis'!$A$5:$A$14,0))=0,"",INDEX('05_Katalog_Servis'!$I$5:$I$14,MATCH($E24,'05_Katalog_Servis'!$A$5:$A$14,0)))</f>
        <v/>
      </c>
      <c r="T24" s="35">
        <f>IF(INDEX('05_Katalog_Servis'!$H$5:$H$14,MATCH($E24,'05_Katalog_Servis'!$A$5:$A$14,0))=0,"",INDEX('05_Katalog_Servis'!$J$5:$J$14,MATCH($E24,'05_Katalog_Servis'!$A$5:$A$14,0)))</f>
        <v/>
      </c>
    </row>
    <row r="25">
      <c r="A25" s="28" t="n">
        <v>405</v>
      </c>
      <c r="B25" s="29">
        <f>INDEX('03_Equipment_Unit'!$B$5:$B$20,MATCH($A25,'03_Equipment_Unit'!$A$5:$A$20,0))</f>
        <v/>
      </c>
      <c r="C25" s="30">
        <f>INDEX('03_Equipment_Unit'!$F$5:$F$20,MATCH($A25,'03_Equipment_Unit'!$A$5:$A$20,0))</f>
        <v/>
      </c>
      <c r="D25" s="30">
        <f>INDEX('03_Equipment_Unit'!$G$5:$G$20,MATCH($A25,'03_Equipment_Unit'!$A$5:$A$20,0))</f>
        <v/>
      </c>
      <c r="E25" s="28" t="n">
        <v>1180</v>
      </c>
      <c r="F25" s="29">
        <f>INDEX('05_Katalog_Servis'!$B$5:$B$14,MATCH($E25,'05_Katalog_Servis'!$A$5:$A$14,0))</f>
        <v/>
      </c>
      <c r="G25" s="30">
        <f>INDEX('05_Katalog_Servis'!$D$5:$D$14,MATCH($E25,'05_Katalog_Servis'!$A$5:$A$14,0))</f>
        <v/>
      </c>
      <c r="H25" s="31">
        <f>SUMPRODUCT(MAX(('06_Riwayat_Beli_Part'!$B$5:$B$17=$C25)*('06_Riwayat_Beli_Part'!$F$5:$F$17=$E25)*'06_Riwayat_Beli_Part'!$E$5:$E$17))</f>
        <v/>
      </c>
      <c r="I25" s="32">
        <f>INDEX('03_Equipment_Unit'!$K$5:$K$20,MATCH($A25,'03_Equipment_Unit'!$A$5:$A$20,0))</f>
        <v/>
      </c>
      <c r="J25" s="29">
        <f>IF($H25=0,"install_date","last_purchase")</f>
        <v/>
      </c>
      <c r="K25" s="33">
        <f>IF($H25=0,$I25,$H25)</f>
        <v/>
      </c>
      <c r="L25" s="33">
        <f>EDATE($K25,$G25)</f>
        <v/>
      </c>
      <c r="M25" s="34">
        <f>IF($L25&lt;'01_Parameter'!$B$5,'01_Parameter'!$B$5-$L25,0)</f>
        <v/>
      </c>
      <c r="N25" s="29">
        <f>IF($L25&lt;'01_Parameter'!$B$5,"overdue",IF($L25&lt;='01_Parameter'!$B$5+'01_Parameter'!$B$6,"due_soon","ok"))</f>
        <v/>
      </c>
      <c r="O25" s="30">
        <f>COUNTIFS('03_Equipment_Unit'!$F$5:$F$20,$C25,'03_Equipment_Unit'!$G$5:$G$20,$D25,'03_Equipment_Unit'!$N$5:$N$20,"active")</f>
        <v/>
      </c>
      <c r="P25" s="29">
        <f>IF($O25&gt;1,"fleet_estimated","unit")</f>
        <v/>
      </c>
      <c r="Q25" s="35">
        <f>IF($O25&gt;1,"Pelanggan memiliki "&amp;$O25&amp;" unit aktif model ini; pembelian tidak dapat ditautkan ke unit tertentu -- sampaikan sebagai perkiraan.","Atribusi pasti: hanya 1 unit aktif dengan model ini.")</f>
        <v/>
      </c>
      <c r="R25" s="30">
        <f>IF(INDEX('05_Katalog_Servis'!$H$5:$H$14,MATCH($E25,'05_Katalog_Servis'!$A$5:$A$14,0))=0,"",INDEX('05_Katalog_Servis'!$H$5:$H$14,MATCH($E25,'05_Katalog_Servis'!$A$5:$A$14,0)))</f>
        <v/>
      </c>
      <c r="S25" s="29">
        <f>IF(INDEX('05_Katalog_Servis'!$H$5:$H$14,MATCH($E25,'05_Katalog_Servis'!$A$5:$A$14,0))=0,"",INDEX('05_Katalog_Servis'!$I$5:$I$14,MATCH($E25,'05_Katalog_Servis'!$A$5:$A$14,0)))</f>
        <v/>
      </c>
      <c r="T25" s="35">
        <f>IF(INDEX('05_Katalog_Servis'!$H$5:$H$14,MATCH($E25,'05_Katalog_Servis'!$A$5:$A$14,0))=0,"",INDEX('05_Katalog_Servis'!$J$5:$J$14,MATCH($E25,'05_Katalog_Servis'!$A$5:$A$14,0)))</f>
        <v/>
      </c>
    </row>
    <row r="26">
      <c r="A26" s="28" t="n">
        <v>405</v>
      </c>
      <c r="B26" s="29">
        <f>INDEX('03_Equipment_Unit'!$B$5:$B$20,MATCH($A26,'03_Equipment_Unit'!$A$5:$A$20,0))</f>
        <v/>
      </c>
      <c r="C26" s="30">
        <f>INDEX('03_Equipment_Unit'!$F$5:$F$20,MATCH($A26,'03_Equipment_Unit'!$A$5:$A$20,0))</f>
        <v/>
      </c>
      <c r="D26" s="30">
        <f>INDEX('03_Equipment_Unit'!$G$5:$G$20,MATCH($A26,'03_Equipment_Unit'!$A$5:$A$20,0))</f>
        <v/>
      </c>
      <c r="E26" s="28" t="n">
        <v>1182</v>
      </c>
      <c r="F26" s="29">
        <f>INDEX('05_Katalog_Servis'!$B$5:$B$14,MATCH($E26,'05_Katalog_Servis'!$A$5:$A$14,0))</f>
        <v/>
      </c>
      <c r="G26" s="30">
        <f>INDEX('05_Katalog_Servis'!$D$5:$D$14,MATCH($E26,'05_Katalog_Servis'!$A$5:$A$14,0))</f>
        <v/>
      </c>
      <c r="H26" s="31">
        <f>SUMPRODUCT(MAX(('06_Riwayat_Beli_Part'!$B$5:$B$17=$C26)*('06_Riwayat_Beli_Part'!$F$5:$F$17=$E26)*'06_Riwayat_Beli_Part'!$E$5:$E$17))</f>
        <v/>
      </c>
      <c r="I26" s="32">
        <f>INDEX('03_Equipment_Unit'!$K$5:$K$20,MATCH($A26,'03_Equipment_Unit'!$A$5:$A$20,0))</f>
        <v/>
      </c>
      <c r="J26" s="29">
        <f>IF($H26=0,"install_date","last_purchase")</f>
        <v/>
      </c>
      <c r="K26" s="33">
        <f>IF($H26=0,$I26,$H26)</f>
        <v/>
      </c>
      <c r="L26" s="33">
        <f>EDATE($K26,$G26)</f>
        <v/>
      </c>
      <c r="M26" s="34">
        <f>IF($L26&lt;'01_Parameter'!$B$5,'01_Parameter'!$B$5-$L26,0)</f>
        <v/>
      </c>
      <c r="N26" s="29">
        <f>IF($L26&lt;'01_Parameter'!$B$5,"overdue",IF($L26&lt;='01_Parameter'!$B$5+'01_Parameter'!$B$6,"due_soon","ok"))</f>
        <v/>
      </c>
      <c r="O26" s="30">
        <f>COUNTIFS('03_Equipment_Unit'!$F$5:$F$20,$C26,'03_Equipment_Unit'!$G$5:$G$20,$D26,'03_Equipment_Unit'!$N$5:$N$20,"active")</f>
        <v/>
      </c>
      <c r="P26" s="29">
        <f>IF($O26&gt;1,"fleet_estimated","unit")</f>
        <v/>
      </c>
      <c r="Q26" s="35">
        <f>IF($O26&gt;1,"Pelanggan memiliki "&amp;$O26&amp;" unit aktif model ini; pembelian tidak dapat ditautkan ke unit tertentu -- sampaikan sebagai perkiraan.","Atribusi pasti: hanya 1 unit aktif dengan model ini.")</f>
        <v/>
      </c>
      <c r="R26" s="30">
        <f>IF(INDEX('05_Katalog_Servis'!$H$5:$H$14,MATCH($E26,'05_Katalog_Servis'!$A$5:$A$14,0))=0,"",INDEX('05_Katalog_Servis'!$H$5:$H$14,MATCH($E26,'05_Katalog_Servis'!$A$5:$A$14,0)))</f>
        <v/>
      </c>
      <c r="S26" s="29">
        <f>IF(INDEX('05_Katalog_Servis'!$H$5:$H$14,MATCH($E26,'05_Katalog_Servis'!$A$5:$A$14,0))=0,"",INDEX('05_Katalog_Servis'!$I$5:$I$14,MATCH($E26,'05_Katalog_Servis'!$A$5:$A$14,0)))</f>
        <v/>
      </c>
      <c r="T26" s="35">
        <f>IF(INDEX('05_Katalog_Servis'!$H$5:$H$14,MATCH($E26,'05_Katalog_Servis'!$A$5:$A$14,0))=0,"",INDEX('05_Katalog_Servis'!$J$5:$J$14,MATCH($E26,'05_Katalog_Servis'!$A$5:$A$14,0)))</f>
        <v/>
      </c>
    </row>
    <row r="27">
      <c r="A27" s="28" t="n">
        <v>405</v>
      </c>
      <c r="B27" s="29">
        <f>INDEX('03_Equipment_Unit'!$B$5:$B$20,MATCH($A27,'03_Equipment_Unit'!$A$5:$A$20,0))</f>
        <v/>
      </c>
      <c r="C27" s="30">
        <f>INDEX('03_Equipment_Unit'!$F$5:$F$20,MATCH($A27,'03_Equipment_Unit'!$A$5:$A$20,0))</f>
        <v/>
      </c>
      <c r="D27" s="30">
        <f>INDEX('03_Equipment_Unit'!$G$5:$G$20,MATCH($A27,'03_Equipment_Unit'!$A$5:$A$20,0))</f>
        <v/>
      </c>
      <c r="E27" s="28" t="n">
        <v>1185</v>
      </c>
      <c r="F27" s="29">
        <f>INDEX('05_Katalog_Servis'!$B$5:$B$14,MATCH($E27,'05_Katalog_Servis'!$A$5:$A$14,0))</f>
        <v/>
      </c>
      <c r="G27" s="30">
        <f>INDEX('05_Katalog_Servis'!$D$5:$D$14,MATCH($E27,'05_Katalog_Servis'!$A$5:$A$14,0))</f>
        <v/>
      </c>
      <c r="H27" s="31">
        <f>SUMPRODUCT(MAX(('06_Riwayat_Beli_Part'!$B$5:$B$17=$C27)*('06_Riwayat_Beli_Part'!$F$5:$F$17=$E27)*'06_Riwayat_Beli_Part'!$E$5:$E$17))</f>
        <v/>
      </c>
      <c r="I27" s="32">
        <f>INDEX('03_Equipment_Unit'!$K$5:$K$20,MATCH($A27,'03_Equipment_Unit'!$A$5:$A$20,0))</f>
        <v/>
      </c>
      <c r="J27" s="29">
        <f>IF($H27=0,"install_date","last_purchase")</f>
        <v/>
      </c>
      <c r="K27" s="33">
        <f>IF($H27=0,$I27,$H27)</f>
        <v/>
      </c>
      <c r="L27" s="33">
        <f>EDATE($K27,$G27)</f>
        <v/>
      </c>
      <c r="M27" s="34">
        <f>IF($L27&lt;'01_Parameter'!$B$5,'01_Parameter'!$B$5-$L27,0)</f>
        <v/>
      </c>
      <c r="N27" s="29">
        <f>IF($L27&lt;'01_Parameter'!$B$5,"overdue",IF($L27&lt;='01_Parameter'!$B$5+'01_Parameter'!$B$6,"due_soon","ok"))</f>
        <v/>
      </c>
      <c r="O27" s="30">
        <f>COUNTIFS('03_Equipment_Unit'!$F$5:$F$20,$C27,'03_Equipment_Unit'!$G$5:$G$20,$D27,'03_Equipment_Unit'!$N$5:$N$20,"active")</f>
        <v/>
      </c>
      <c r="P27" s="29">
        <f>IF($O27&gt;1,"fleet_estimated","unit")</f>
        <v/>
      </c>
      <c r="Q27" s="35">
        <f>IF($O27&gt;1,"Pelanggan memiliki "&amp;$O27&amp;" unit aktif model ini; pembelian tidak dapat ditautkan ke unit tertentu -- sampaikan sebagai perkiraan.","Atribusi pasti: hanya 1 unit aktif dengan model ini.")</f>
        <v/>
      </c>
      <c r="R27" s="30">
        <f>IF(INDEX('05_Katalog_Servis'!$H$5:$H$14,MATCH($E27,'05_Katalog_Servis'!$A$5:$A$14,0))=0,"",INDEX('05_Katalog_Servis'!$H$5:$H$14,MATCH($E27,'05_Katalog_Servis'!$A$5:$A$14,0)))</f>
        <v/>
      </c>
      <c r="S27" s="29">
        <f>IF(INDEX('05_Katalog_Servis'!$H$5:$H$14,MATCH($E27,'05_Katalog_Servis'!$A$5:$A$14,0))=0,"",INDEX('05_Katalog_Servis'!$I$5:$I$14,MATCH($E27,'05_Katalog_Servis'!$A$5:$A$14,0)))</f>
        <v/>
      </c>
      <c r="T27" s="35">
        <f>IF(INDEX('05_Katalog_Servis'!$H$5:$H$14,MATCH($E27,'05_Katalog_Servis'!$A$5:$A$14,0))=0,"",INDEX('05_Katalog_Servis'!$J$5:$J$14,MATCH($E27,'05_Katalog_Servis'!$A$5:$A$14,0)))</f>
        <v/>
      </c>
    </row>
    <row r="28">
      <c r="A28" s="28" t="n">
        <v>405</v>
      </c>
      <c r="B28" s="29">
        <f>INDEX('03_Equipment_Unit'!$B$5:$B$20,MATCH($A28,'03_Equipment_Unit'!$A$5:$A$20,0))</f>
        <v/>
      </c>
      <c r="C28" s="30">
        <f>INDEX('03_Equipment_Unit'!$F$5:$F$20,MATCH($A28,'03_Equipment_Unit'!$A$5:$A$20,0))</f>
        <v/>
      </c>
      <c r="D28" s="30">
        <f>INDEX('03_Equipment_Unit'!$G$5:$G$20,MATCH($A28,'03_Equipment_Unit'!$A$5:$A$20,0))</f>
        <v/>
      </c>
      <c r="E28" s="28" t="n">
        <v>1192</v>
      </c>
      <c r="F28" s="29">
        <f>INDEX('05_Katalog_Servis'!$B$5:$B$14,MATCH($E28,'05_Katalog_Servis'!$A$5:$A$14,0))</f>
        <v/>
      </c>
      <c r="G28" s="30">
        <f>INDEX('05_Katalog_Servis'!$D$5:$D$14,MATCH($E28,'05_Katalog_Servis'!$A$5:$A$14,0))</f>
        <v/>
      </c>
      <c r="H28" s="31">
        <f>SUMPRODUCT(MAX(('06_Riwayat_Beli_Part'!$B$5:$B$17=$C28)*('06_Riwayat_Beli_Part'!$F$5:$F$17=$E28)*'06_Riwayat_Beli_Part'!$E$5:$E$17))</f>
        <v/>
      </c>
      <c r="I28" s="32">
        <f>INDEX('03_Equipment_Unit'!$K$5:$K$20,MATCH($A28,'03_Equipment_Unit'!$A$5:$A$20,0))</f>
        <v/>
      </c>
      <c r="J28" s="29">
        <f>IF($H28=0,"install_date","last_purchase")</f>
        <v/>
      </c>
      <c r="K28" s="33">
        <f>IF($H28=0,$I28,$H28)</f>
        <v/>
      </c>
      <c r="L28" s="33">
        <f>EDATE($K28,$G28)</f>
        <v/>
      </c>
      <c r="M28" s="34">
        <f>IF($L28&lt;'01_Parameter'!$B$5,'01_Parameter'!$B$5-$L28,0)</f>
        <v/>
      </c>
      <c r="N28" s="29">
        <f>IF($L28&lt;'01_Parameter'!$B$5,"overdue",IF($L28&lt;='01_Parameter'!$B$5+'01_Parameter'!$B$6,"due_soon","ok"))</f>
        <v/>
      </c>
      <c r="O28" s="30">
        <f>COUNTIFS('03_Equipment_Unit'!$F$5:$F$20,$C28,'03_Equipment_Unit'!$G$5:$G$20,$D28,'03_Equipment_Unit'!$N$5:$N$20,"active")</f>
        <v/>
      </c>
      <c r="P28" s="29">
        <f>IF($O28&gt;1,"fleet_estimated","unit")</f>
        <v/>
      </c>
      <c r="Q28" s="35">
        <f>IF($O28&gt;1,"Pelanggan memiliki "&amp;$O28&amp;" unit aktif model ini; pembelian tidak dapat ditautkan ke unit tertentu -- sampaikan sebagai perkiraan.","Atribusi pasti: hanya 1 unit aktif dengan model ini.")</f>
        <v/>
      </c>
      <c r="R28" s="30">
        <f>IF(INDEX('05_Katalog_Servis'!$H$5:$H$14,MATCH($E28,'05_Katalog_Servis'!$A$5:$A$14,0))=0,"",INDEX('05_Katalog_Servis'!$H$5:$H$14,MATCH($E28,'05_Katalog_Servis'!$A$5:$A$14,0)))</f>
        <v/>
      </c>
      <c r="S28" s="29">
        <f>IF(INDEX('05_Katalog_Servis'!$H$5:$H$14,MATCH($E28,'05_Katalog_Servis'!$A$5:$A$14,0))=0,"",INDEX('05_Katalog_Servis'!$I$5:$I$14,MATCH($E28,'05_Katalog_Servis'!$A$5:$A$14,0)))</f>
        <v/>
      </c>
      <c r="T28" s="35">
        <f>IF(INDEX('05_Katalog_Servis'!$H$5:$H$14,MATCH($E28,'05_Katalog_Servis'!$A$5:$A$14,0))=0,"",INDEX('05_Katalog_Servis'!$J$5:$J$14,MATCH($E28,'05_Katalog_Servis'!$A$5:$A$14,0)))</f>
        <v/>
      </c>
    </row>
    <row r="29">
      <c r="A29" s="28" t="n">
        <v>406</v>
      </c>
      <c r="B29" s="29">
        <f>INDEX('03_Equipment_Unit'!$B$5:$B$20,MATCH($A29,'03_Equipment_Unit'!$A$5:$A$20,0))</f>
        <v/>
      </c>
      <c r="C29" s="30">
        <f>INDEX('03_Equipment_Unit'!$F$5:$F$20,MATCH($A29,'03_Equipment_Unit'!$A$5:$A$20,0))</f>
        <v/>
      </c>
      <c r="D29" s="30">
        <f>INDEX('03_Equipment_Unit'!$G$5:$G$20,MATCH($A29,'03_Equipment_Unit'!$A$5:$A$20,0))</f>
        <v/>
      </c>
      <c r="E29" s="28" t="n">
        <v>1310</v>
      </c>
      <c r="F29" s="29">
        <f>INDEX('05_Katalog_Servis'!$B$5:$B$14,MATCH($E29,'05_Katalog_Servis'!$A$5:$A$14,0))</f>
        <v/>
      </c>
      <c r="G29" s="30">
        <f>INDEX('05_Katalog_Servis'!$D$5:$D$14,MATCH($E29,'05_Katalog_Servis'!$A$5:$A$14,0))</f>
        <v/>
      </c>
      <c r="H29" s="31">
        <f>SUMPRODUCT(MAX(('06_Riwayat_Beli_Part'!$B$5:$B$17=$C29)*('06_Riwayat_Beli_Part'!$F$5:$F$17=$E29)*'06_Riwayat_Beli_Part'!$E$5:$E$17))</f>
        <v/>
      </c>
      <c r="I29" s="32">
        <f>INDEX('03_Equipment_Unit'!$K$5:$K$20,MATCH($A29,'03_Equipment_Unit'!$A$5:$A$20,0))</f>
        <v/>
      </c>
      <c r="J29" s="29">
        <f>IF($H29=0,"install_date","last_purchase")</f>
        <v/>
      </c>
      <c r="K29" s="33">
        <f>IF($H29=0,$I29,$H29)</f>
        <v/>
      </c>
      <c r="L29" s="33">
        <f>EDATE($K29,$G29)</f>
        <v/>
      </c>
      <c r="M29" s="34">
        <f>IF($L29&lt;'01_Parameter'!$B$5,'01_Parameter'!$B$5-$L29,0)</f>
        <v/>
      </c>
      <c r="N29" s="29">
        <f>IF($L29&lt;'01_Parameter'!$B$5,"overdue",IF($L29&lt;='01_Parameter'!$B$5+'01_Parameter'!$B$6,"due_soon","ok"))</f>
        <v/>
      </c>
      <c r="O29" s="30">
        <f>COUNTIFS('03_Equipment_Unit'!$F$5:$F$20,$C29,'03_Equipment_Unit'!$G$5:$G$20,$D29,'03_Equipment_Unit'!$N$5:$N$20,"active")</f>
        <v/>
      </c>
      <c r="P29" s="29">
        <f>IF($O29&gt;1,"fleet_estimated","unit")</f>
        <v/>
      </c>
      <c r="Q29" s="35">
        <f>IF($O29&gt;1,"Pelanggan memiliki "&amp;$O29&amp;" unit aktif model ini; pembelian tidak dapat ditautkan ke unit tertentu -- sampaikan sebagai perkiraan.","Atribusi pasti: hanya 1 unit aktif dengan model ini.")</f>
        <v/>
      </c>
      <c r="R29" s="30">
        <f>IF(INDEX('05_Katalog_Servis'!$H$5:$H$14,MATCH($E29,'05_Katalog_Servis'!$A$5:$A$14,0))=0,"",INDEX('05_Katalog_Servis'!$H$5:$H$14,MATCH($E29,'05_Katalog_Servis'!$A$5:$A$14,0)))</f>
        <v/>
      </c>
      <c r="S29" s="29">
        <f>IF(INDEX('05_Katalog_Servis'!$H$5:$H$14,MATCH($E29,'05_Katalog_Servis'!$A$5:$A$14,0))=0,"",INDEX('05_Katalog_Servis'!$I$5:$I$14,MATCH($E29,'05_Katalog_Servis'!$A$5:$A$14,0)))</f>
        <v/>
      </c>
      <c r="T29" s="35">
        <f>IF(INDEX('05_Katalog_Servis'!$H$5:$H$14,MATCH($E29,'05_Katalog_Servis'!$A$5:$A$14,0))=0,"",INDEX('05_Katalog_Servis'!$J$5:$J$14,MATCH($E29,'05_Katalog_Servis'!$A$5:$A$14,0)))</f>
        <v/>
      </c>
    </row>
    <row r="30">
      <c r="A30" s="28" t="n">
        <v>406</v>
      </c>
      <c r="B30" s="29">
        <f>INDEX('03_Equipment_Unit'!$B$5:$B$20,MATCH($A30,'03_Equipment_Unit'!$A$5:$A$20,0))</f>
        <v/>
      </c>
      <c r="C30" s="30">
        <f>INDEX('03_Equipment_Unit'!$F$5:$F$20,MATCH($A30,'03_Equipment_Unit'!$A$5:$A$20,0))</f>
        <v/>
      </c>
      <c r="D30" s="30">
        <f>INDEX('03_Equipment_Unit'!$G$5:$G$20,MATCH($A30,'03_Equipment_Unit'!$A$5:$A$20,0))</f>
        <v/>
      </c>
      <c r="E30" s="28" t="n">
        <v>1315</v>
      </c>
      <c r="F30" s="29">
        <f>INDEX('05_Katalog_Servis'!$B$5:$B$14,MATCH($E30,'05_Katalog_Servis'!$A$5:$A$14,0))</f>
        <v/>
      </c>
      <c r="G30" s="30">
        <f>INDEX('05_Katalog_Servis'!$D$5:$D$14,MATCH($E30,'05_Katalog_Servis'!$A$5:$A$14,0))</f>
        <v/>
      </c>
      <c r="H30" s="31">
        <f>SUMPRODUCT(MAX(('06_Riwayat_Beli_Part'!$B$5:$B$17=$C30)*('06_Riwayat_Beli_Part'!$F$5:$F$17=$E30)*'06_Riwayat_Beli_Part'!$E$5:$E$17))</f>
        <v/>
      </c>
      <c r="I30" s="32">
        <f>INDEX('03_Equipment_Unit'!$K$5:$K$20,MATCH($A30,'03_Equipment_Unit'!$A$5:$A$20,0))</f>
        <v/>
      </c>
      <c r="J30" s="29">
        <f>IF($H30=0,"install_date","last_purchase")</f>
        <v/>
      </c>
      <c r="K30" s="33">
        <f>IF($H30=0,$I30,$H30)</f>
        <v/>
      </c>
      <c r="L30" s="33">
        <f>EDATE($K30,$G30)</f>
        <v/>
      </c>
      <c r="M30" s="34">
        <f>IF($L30&lt;'01_Parameter'!$B$5,'01_Parameter'!$B$5-$L30,0)</f>
        <v/>
      </c>
      <c r="N30" s="29">
        <f>IF($L30&lt;'01_Parameter'!$B$5,"overdue",IF($L30&lt;='01_Parameter'!$B$5+'01_Parameter'!$B$6,"due_soon","ok"))</f>
        <v/>
      </c>
      <c r="O30" s="30">
        <f>COUNTIFS('03_Equipment_Unit'!$F$5:$F$20,$C30,'03_Equipment_Unit'!$G$5:$G$20,$D30,'03_Equipment_Unit'!$N$5:$N$20,"active")</f>
        <v/>
      </c>
      <c r="P30" s="29">
        <f>IF($O30&gt;1,"fleet_estimated","unit")</f>
        <v/>
      </c>
      <c r="Q30" s="35">
        <f>IF($O30&gt;1,"Pelanggan memiliki "&amp;$O30&amp;" unit aktif model ini; pembelian tidak dapat ditautkan ke unit tertentu -- sampaikan sebagai perkiraan.","Atribusi pasti: hanya 1 unit aktif dengan model ini.")</f>
        <v/>
      </c>
      <c r="R30" s="30">
        <f>IF(INDEX('05_Katalog_Servis'!$H$5:$H$14,MATCH($E30,'05_Katalog_Servis'!$A$5:$A$14,0))=0,"",INDEX('05_Katalog_Servis'!$H$5:$H$14,MATCH($E30,'05_Katalog_Servis'!$A$5:$A$14,0)))</f>
        <v/>
      </c>
      <c r="S30" s="29">
        <f>IF(INDEX('05_Katalog_Servis'!$H$5:$H$14,MATCH($E30,'05_Katalog_Servis'!$A$5:$A$14,0))=0,"",INDEX('05_Katalog_Servis'!$I$5:$I$14,MATCH($E30,'05_Katalog_Servis'!$A$5:$A$14,0)))</f>
        <v/>
      </c>
      <c r="T30" s="35">
        <f>IF(INDEX('05_Katalog_Servis'!$H$5:$H$14,MATCH($E30,'05_Katalog_Servis'!$A$5:$A$14,0))=0,"",INDEX('05_Katalog_Servis'!$J$5:$J$14,MATCH($E30,'05_Katalog_Servis'!$A$5:$A$14,0)))</f>
        <v/>
      </c>
    </row>
    <row r="31">
      <c r="A31" s="28" t="n">
        <v>410</v>
      </c>
      <c r="B31" s="29">
        <f>INDEX('03_Equipment_Unit'!$B$5:$B$20,MATCH($A31,'03_Equipment_Unit'!$A$5:$A$20,0))</f>
        <v/>
      </c>
      <c r="C31" s="30">
        <f>INDEX('03_Equipment_Unit'!$F$5:$F$20,MATCH($A31,'03_Equipment_Unit'!$A$5:$A$20,0))</f>
        <v/>
      </c>
      <c r="D31" s="30">
        <f>INDEX('03_Equipment_Unit'!$G$5:$G$20,MATCH($A31,'03_Equipment_Unit'!$A$5:$A$20,0))</f>
        <v/>
      </c>
      <c r="E31" s="28" t="n">
        <v>1180</v>
      </c>
      <c r="F31" s="29">
        <f>INDEX('05_Katalog_Servis'!$B$5:$B$14,MATCH($E31,'05_Katalog_Servis'!$A$5:$A$14,0))</f>
        <v/>
      </c>
      <c r="G31" s="30">
        <f>INDEX('05_Katalog_Servis'!$D$5:$D$14,MATCH($E31,'05_Katalog_Servis'!$A$5:$A$14,0))</f>
        <v/>
      </c>
      <c r="H31" s="31">
        <f>SUMPRODUCT(MAX(('06_Riwayat_Beli_Part'!$B$5:$B$17=$C31)*('06_Riwayat_Beli_Part'!$F$5:$F$17=$E31)*'06_Riwayat_Beli_Part'!$E$5:$E$17))</f>
        <v/>
      </c>
      <c r="I31" s="32">
        <f>INDEX('03_Equipment_Unit'!$K$5:$K$20,MATCH($A31,'03_Equipment_Unit'!$A$5:$A$20,0))</f>
        <v/>
      </c>
      <c r="J31" s="29">
        <f>IF($H31=0,"install_date","last_purchase")</f>
        <v/>
      </c>
      <c r="K31" s="33">
        <f>IF($H31=0,$I31,$H31)</f>
        <v/>
      </c>
      <c r="L31" s="33">
        <f>EDATE($K31,$G31)</f>
        <v/>
      </c>
      <c r="M31" s="34">
        <f>IF($L31&lt;'01_Parameter'!$B$5,'01_Parameter'!$B$5-$L31,0)</f>
        <v/>
      </c>
      <c r="N31" s="29">
        <f>IF($L31&lt;'01_Parameter'!$B$5,"overdue",IF($L31&lt;='01_Parameter'!$B$5+'01_Parameter'!$B$6,"due_soon","ok"))</f>
        <v/>
      </c>
      <c r="O31" s="30">
        <f>COUNTIFS('03_Equipment_Unit'!$F$5:$F$20,$C31,'03_Equipment_Unit'!$G$5:$G$20,$D31,'03_Equipment_Unit'!$N$5:$N$20,"active")</f>
        <v/>
      </c>
      <c r="P31" s="29">
        <f>IF($O31&gt;1,"fleet_estimated","unit")</f>
        <v/>
      </c>
      <c r="Q31" s="35">
        <f>IF($O31&gt;1,"Pelanggan memiliki "&amp;$O31&amp;" unit aktif model ini; pembelian tidak dapat ditautkan ke unit tertentu -- sampaikan sebagai perkiraan.","Atribusi pasti: hanya 1 unit aktif dengan model ini.")</f>
        <v/>
      </c>
      <c r="R31" s="30">
        <f>IF(INDEX('05_Katalog_Servis'!$H$5:$H$14,MATCH($E31,'05_Katalog_Servis'!$A$5:$A$14,0))=0,"",INDEX('05_Katalog_Servis'!$H$5:$H$14,MATCH($E31,'05_Katalog_Servis'!$A$5:$A$14,0)))</f>
        <v/>
      </c>
      <c r="S31" s="29">
        <f>IF(INDEX('05_Katalog_Servis'!$H$5:$H$14,MATCH($E31,'05_Katalog_Servis'!$A$5:$A$14,0))=0,"",INDEX('05_Katalog_Servis'!$I$5:$I$14,MATCH($E31,'05_Katalog_Servis'!$A$5:$A$14,0)))</f>
        <v/>
      </c>
      <c r="T31" s="35">
        <f>IF(INDEX('05_Katalog_Servis'!$H$5:$H$14,MATCH($E31,'05_Katalog_Servis'!$A$5:$A$14,0))=0,"",INDEX('05_Katalog_Servis'!$J$5:$J$14,MATCH($E31,'05_Katalog_Servis'!$A$5:$A$14,0)))</f>
        <v/>
      </c>
    </row>
    <row r="32">
      <c r="A32" s="28" t="n">
        <v>410</v>
      </c>
      <c r="B32" s="29">
        <f>INDEX('03_Equipment_Unit'!$B$5:$B$20,MATCH($A32,'03_Equipment_Unit'!$A$5:$A$20,0))</f>
        <v/>
      </c>
      <c r="C32" s="30">
        <f>INDEX('03_Equipment_Unit'!$F$5:$F$20,MATCH($A32,'03_Equipment_Unit'!$A$5:$A$20,0))</f>
        <v/>
      </c>
      <c r="D32" s="30">
        <f>INDEX('03_Equipment_Unit'!$G$5:$G$20,MATCH($A32,'03_Equipment_Unit'!$A$5:$A$20,0))</f>
        <v/>
      </c>
      <c r="E32" s="28" t="n">
        <v>1182</v>
      </c>
      <c r="F32" s="29">
        <f>INDEX('05_Katalog_Servis'!$B$5:$B$14,MATCH($E32,'05_Katalog_Servis'!$A$5:$A$14,0))</f>
        <v/>
      </c>
      <c r="G32" s="30">
        <f>INDEX('05_Katalog_Servis'!$D$5:$D$14,MATCH($E32,'05_Katalog_Servis'!$A$5:$A$14,0))</f>
        <v/>
      </c>
      <c r="H32" s="31">
        <f>SUMPRODUCT(MAX(('06_Riwayat_Beli_Part'!$B$5:$B$17=$C32)*('06_Riwayat_Beli_Part'!$F$5:$F$17=$E32)*'06_Riwayat_Beli_Part'!$E$5:$E$17))</f>
        <v/>
      </c>
      <c r="I32" s="32">
        <f>INDEX('03_Equipment_Unit'!$K$5:$K$20,MATCH($A32,'03_Equipment_Unit'!$A$5:$A$20,0))</f>
        <v/>
      </c>
      <c r="J32" s="29">
        <f>IF($H32=0,"install_date","last_purchase")</f>
        <v/>
      </c>
      <c r="K32" s="33">
        <f>IF($H32=0,$I32,$H32)</f>
        <v/>
      </c>
      <c r="L32" s="33">
        <f>EDATE($K32,$G32)</f>
        <v/>
      </c>
      <c r="M32" s="34">
        <f>IF($L32&lt;'01_Parameter'!$B$5,'01_Parameter'!$B$5-$L32,0)</f>
        <v/>
      </c>
      <c r="N32" s="29">
        <f>IF($L32&lt;'01_Parameter'!$B$5,"overdue",IF($L32&lt;='01_Parameter'!$B$5+'01_Parameter'!$B$6,"due_soon","ok"))</f>
        <v/>
      </c>
      <c r="O32" s="30">
        <f>COUNTIFS('03_Equipment_Unit'!$F$5:$F$20,$C32,'03_Equipment_Unit'!$G$5:$G$20,$D32,'03_Equipment_Unit'!$N$5:$N$20,"active")</f>
        <v/>
      </c>
      <c r="P32" s="29">
        <f>IF($O32&gt;1,"fleet_estimated","unit")</f>
        <v/>
      </c>
      <c r="Q32" s="35">
        <f>IF($O32&gt;1,"Pelanggan memiliki "&amp;$O32&amp;" unit aktif model ini; pembelian tidak dapat ditautkan ke unit tertentu -- sampaikan sebagai perkiraan.","Atribusi pasti: hanya 1 unit aktif dengan model ini.")</f>
        <v/>
      </c>
      <c r="R32" s="30">
        <f>IF(INDEX('05_Katalog_Servis'!$H$5:$H$14,MATCH($E32,'05_Katalog_Servis'!$A$5:$A$14,0))=0,"",INDEX('05_Katalog_Servis'!$H$5:$H$14,MATCH($E32,'05_Katalog_Servis'!$A$5:$A$14,0)))</f>
        <v/>
      </c>
      <c r="S32" s="29">
        <f>IF(INDEX('05_Katalog_Servis'!$H$5:$H$14,MATCH($E32,'05_Katalog_Servis'!$A$5:$A$14,0))=0,"",INDEX('05_Katalog_Servis'!$I$5:$I$14,MATCH($E32,'05_Katalog_Servis'!$A$5:$A$14,0)))</f>
        <v/>
      </c>
      <c r="T32" s="35">
        <f>IF(INDEX('05_Katalog_Servis'!$H$5:$H$14,MATCH($E32,'05_Katalog_Servis'!$A$5:$A$14,0))=0,"",INDEX('05_Katalog_Servis'!$J$5:$J$14,MATCH($E32,'05_Katalog_Servis'!$A$5:$A$14,0)))</f>
        <v/>
      </c>
    </row>
    <row r="33">
      <c r="A33" s="28" t="n">
        <v>410</v>
      </c>
      <c r="B33" s="29">
        <f>INDEX('03_Equipment_Unit'!$B$5:$B$20,MATCH($A33,'03_Equipment_Unit'!$A$5:$A$20,0))</f>
        <v/>
      </c>
      <c r="C33" s="30">
        <f>INDEX('03_Equipment_Unit'!$F$5:$F$20,MATCH($A33,'03_Equipment_Unit'!$A$5:$A$20,0))</f>
        <v/>
      </c>
      <c r="D33" s="30">
        <f>INDEX('03_Equipment_Unit'!$G$5:$G$20,MATCH($A33,'03_Equipment_Unit'!$A$5:$A$20,0))</f>
        <v/>
      </c>
      <c r="E33" s="28" t="n">
        <v>1185</v>
      </c>
      <c r="F33" s="29">
        <f>INDEX('05_Katalog_Servis'!$B$5:$B$14,MATCH($E33,'05_Katalog_Servis'!$A$5:$A$14,0))</f>
        <v/>
      </c>
      <c r="G33" s="30">
        <f>INDEX('05_Katalog_Servis'!$D$5:$D$14,MATCH($E33,'05_Katalog_Servis'!$A$5:$A$14,0))</f>
        <v/>
      </c>
      <c r="H33" s="31">
        <f>SUMPRODUCT(MAX(('06_Riwayat_Beli_Part'!$B$5:$B$17=$C33)*('06_Riwayat_Beli_Part'!$F$5:$F$17=$E33)*'06_Riwayat_Beli_Part'!$E$5:$E$17))</f>
        <v/>
      </c>
      <c r="I33" s="32">
        <f>INDEX('03_Equipment_Unit'!$K$5:$K$20,MATCH($A33,'03_Equipment_Unit'!$A$5:$A$20,0))</f>
        <v/>
      </c>
      <c r="J33" s="29">
        <f>IF($H33=0,"install_date","last_purchase")</f>
        <v/>
      </c>
      <c r="K33" s="33">
        <f>IF($H33=0,$I33,$H33)</f>
        <v/>
      </c>
      <c r="L33" s="33">
        <f>EDATE($K33,$G33)</f>
        <v/>
      </c>
      <c r="M33" s="34">
        <f>IF($L33&lt;'01_Parameter'!$B$5,'01_Parameter'!$B$5-$L33,0)</f>
        <v/>
      </c>
      <c r="N33" s="29">
        <f>IF($L33&lt;'01_Parameter'!$B$5,"overdue",IF($L33&lt;='01_Parameter'!$B$5+'01_Parameter'!$B$6,"due_soon","ok"))</f>
        <v/>
      </c>
      <c r="O33" s="30">
        <f>COUNTIFS('03_Equipment_Unit'!$F$5:$F$20,$C33,'03_Equipment_Unit'!$G$5:$G$20,$D33,'03_Equipment_Unit'!$N$5:$N$20,"active")</f>
        <v/>
      </c>
      <c r="P33" s="29">
        <f>IF($O33&gt;1,"fleet_estimated","unit")</f>
        <v/>
      </c>
      <c r="Q33" s="35">
        <f>IF($O33&gt;1,"Pelanggan memiliki "&amp;$O33&amp;" unit aktif model ini; pembelian tidak dapat ditautkan ke unit tertentu -- sampaikan sebagai perkiraan.","Atribusi pasti: hanya 1 unit aktif dengan model ini.")</f>
        <v/>
      </c>
      <c r="R33" s="30">
        <f>IF(INDEX('05_Katalog_Servis'!$H$5:$H$14,MATCH($E33,'05_Katalog_Servis'!$A$5:$A$14,0))=0,"",INDEX('05_Katalog_Servis'!$H$5:$H$14,MATCH($E33,'05_Katalog_Servis'!$A$5:$A$14,0)))</f>
        <v/>
      </c>
      <c r="S33" s="29">
        <f>IF(INDEX('05_Katalog_Servis'!$H$5:$H$14,MATCH($E33,'05_Katalog_Servis'!$A$5:$A$14,0))=0,"",INDEX('05_Katalog_Servis'!$I$5:$I$14,MATCH($E33,'05_Katalog_Servis'!$A$5:$A$14,0)))</f>
        <v/>
      </c>
      <c r="T33" s="35">
        <f>IF(INDEX('05_Katalog_Servis'!$H$5:$H$14,MATCH($E33,'05_Katalog_Servis'!$A$5:$A$14,0))=0,"",INDEX('05_Katalog_Servis'!$J$5:$J$14,MATCH($E33,'05_Katalog_Servis'!$A$5:$A$14,0)))</f>
        <v/>
      </c>
    </row>
    <row r="34">
      <c r="A34" s="28" t="n">
        <v>410</v>
      </c>
      <c r="B34" s="29">
        <f>INDEX('03_Equipment_Unit'!$B$5:$B$20,MATCH($A34,'03_Equipment_Unit'!$A$5:$A$20,0))</f>
        <v/>
      </c>
      <c r="C34" s="30">
        <f>INDEX('03_Equipment_Unit'!$F$5:$F$20,MATCH($A34,'03_Equipment_Unit'!$A$5:$A$20,0))</f>
        <v/>
      </c>
      <c r="D34" s="30">
        <f>INDEX('03_Equipment_Unit'!$G$5:$G$20,MATCH($A34,'03_Equipment_Unit'!$A$5:$A$20,0))</f>
        <v/>
      </c>
      <c r="E34" s="28" t="n">
        <v>1192</v>
      </c>
      <c r="F34" s="29">
        <f>INDEX('05_Katalog_Servis'!$B$5:$B$14,MATCH($E34,'05_Katalog_Servis'!$A$5:$A$14,0))</f>
        <v/>
      </c>
      <c r="G34" s="30">
        <f>INDEX('05_Katalog_Servis'!$D$5:$D$14,MATCH($E34,'05_Katalog_Servis'!$A$5:$A$14,0))</f>
        <v/>
      </c>
      <c r="H34" s="31">
        <f>SUMPRODUCT(MAX(('06_Riwayat_Beli_Part'!$B$5:$B$17=$C34)*('06_Riwayat_Beli_Part'!$F$5:$F$17=$E34)*'06_Riwayat_Beli_Part'!$E$5:$E$17))</f>
        <v/>
      </c>
      <c r="I34" s="32">
        <f>INDEX('03_Equipment_Unit'!$K$5:$K$20,MATCH($A34,'03_Equipment_Unit'!$A$5:$A$20,0))</f>
        <v/>
      </c>
      <c r="J34" s="29">
        <f>IF($H34=0,"install_date","last_purchase")</f>
        <v/>
      </c>
      <c r="K34" s="33">
        <f>IF($H34=0,$I34,$H34)</f>
        <v/>
      </c>
      <c r="L34" s="33">
        <f>EDATE($K34,$G34)</f>
        <v/>
      </c>
      <c r="M34" s="34">
        <f>IF($L34&lt;'01_Parameter'!$B$5,'01_Parameter'!$B$5-$L34,0)</f>
        <v/>
      </c>
      <c r="N34" s="29">
        <f>IF($L34&lt;'01_Parameter'!$B$5,"overdue",IF($L34&lt;='01_Parameter'!$B$5+'01_Parameter'!$B$6,"due_soon","ok"))</f>
        <v/>
      </c>
      <c r="O34" s="30">
        <f>COUNTIFS('03_Equipment_Unit'!$F$5:$F$20,$C34,'03_Equipment_Unit'!$G$5:$G$20,$D34,'03_Equipment_Unit'!$N$5:$N$20,"active")</f>
        <v/>
      </c>
      <c r="P34" s="29">
        <f>IF($O34&gt;1,"fleet_estimated","unit")</f>
        <v/>
      </c>
      <c r="Q34" s="35">
        <f>IF($O34&gt;1,"Pelanggan memiliki "&amp;$O34&amp;" unit aktif model ini; pembelian tidak dapat ditautkan ke unit tertentu -- sampaikan sebagai perkiraan.","Atribusi pasti: hanya 1 unit aktif dengan model ini.")</f>
        <v/>
      </c>
      <c r="R34" s="30">
        <f>IF(INDEX('05_Katalog_Servis'!$H$5:$H$14,MATCH($E34,'05_Katalog_Servis'!$A$5:$A$14,0))=0,"",INDEX('05_Katalog_Servis'!$H$5:$H$14,MATCH($E34,'05_Katalog_Servis'!$A$5:$A$14,0)))</f>
        <v/>
      </c>
      <c r="S34" s="29">
        <f>IF(INDEX('05_Katalog_Servis'!$H$5:$H$14,MATCH($E34,'05_Katalog_Servis'!$A$5:$A$14,0))=0,"",INDEX('05_Katalog_Servis'!$I$5:$I$14,MATCH($E34,'05_Katalog_Servis'!$A$5:$A$14,0)))</f>
        <v/>
      </c>
      <c r="T34" s="35">
        <f>IF(INDEX('05_Katalog_Servis'!$H$5:$H$14,MATCH($E34,'05_Katalog_Servis'!$A$5:$A$14,0))=0,"",INDEX('05_Katalog_Servis'!$J$5:$J$14,MATCH($E34,'05_Katalog_Servis'!$A$5:$A$14,0)))</f>
        <v/>
      </c>
    </row>
    <row r="35">
      <c r="A35" s="28" t="n">
        <v>411</v>
      </c>
      <c r="B35" s="29">
        <f>INDEX('03_Equipment_Unit'!$B$5:$B$20,MATCH($A35,'03_Equipment_Unit'!$A$5:$A$20,0))</f>
        <v/>
      </c>
      <c r="C35" s="30">
        <f>INDEX('03_Equipment_Unit'!$F$5:$F$20,MATCH($A35,'03_Equipment_Unit'!$A$5:$A$20,0))</f>
        <v/>
      </c>
      <c r="D35" s="30">
        <f>INDEX('03_Equipment_Unit'!$G$5:$G$20,MATCH($A35,'03_Equipment_Unit'!$A$5:$A$20,0))</f>
        <v/>
      </c>
      <c r="E35" s="28" t="n">
        <v>1420</v>
      </c>
      <c r="F35" s="29">
        <f>INDEX('05_Katalog_Servis'!$B$5:$B$14,MATCH($E35,'05_Katalog_Servis'!$A$5:$A$14,0))</f>
        <v/>
      </c>
      <c r="G35" s="30">
        <f>INDEX('05_Katalog_Servis'!$D$5:$D$14,MATCH($E35,'05_Katalog_Servis'!$A$5:$A$14,0))</f>
        <v/>
      </c>
      <c r="H35" s="31">
        <f>SUMPRODUCT(MAX(('06_Riwayat_Beli_Part'!$B$5:$B$17=$C35)*('06_Riwayat_Beli_Part'!$F$5:$F$17=$E35)*'06_Riwayat_Beli_Part'!$E$5:$E$17))</f>
        <v/>
      </c>
      <c r="I35" s="32">
        <f>INDEX('03_Equipment_Unit'!$K$5:$K$20,MATCH($A35,'03_Equipment_Unit'!$A$5:$A$20,0))</f>
        <v/>
      </c>
      <c r="J35" s="29">
        <f>IF($H35=0,"install_date","last_purchase")</f>
        <v/>
      </c>
      <c r="K35" s="33">
        <f>IF($H35=0,$I35,$H35)</f>
        <v/>
      </c>
      <c r="L35" s="33">
        <f>EDATE($K35,$G35)</f>
        <v/>
      </c>
      <c r="M35" s="34">
        <f>IF($L35&lt;'01_Parameter'!$B$5,'01_Parameter'!$B$5-$L35,0)</f>
        <v/>
      </c>
      <c r="N35" s="29">
        <f>IF($L35&lt;'01_Parameter'!$B$5,"overdue",IF($L35&lt;='01_Parameter'!$B$5+'01_Parameter'!$B$6,"due_soon","ok"))</f>
        <v/>
      </c>
      <c r="O35" s="30">
        <f>COUNTIFS('03_Equipment_Unit'!$F$5:$F$20,$C35,'03_Equipment_Unit'!$G$5:$G$20,$D35,'03_Equipment_Unit'!$N$5:$N$20,"active")</f>
        <v/>
      </c>
      <c r="P35" s="29">
        <f>IF($O35&gt;1,"fleet_estimated","unit")</f>
        <v/>
      </c>
      <c r="Q35" s="35">
        <f>IF($O35&gt;1,"Pelanggan memiliki "&amp;$O35&amp;" unit aktif model ini; pembelian tidak dapat ditautkan ke unit tertentu -- sampaikan sebagai perkiraan.","Atribusi pasti: hanya 1 unit aktif dengan model ini.")</f>
        <v/>
      </c>
      <c r="R35" s="30">
        <f>IF(INDEX('05_Katalog_Servis'!$H$5:$H$14,MATCH($E35,'05_Katalog_Servis'!$A$5:$A$14,0))=0,"",INDEX('05_Katalog_Servis'!$H$5:$H$14,MATCH($E35,'05_Katalog_Servis'!$A$5:$A$14,0)))</f>
        <v/>
      </c>
      <c r="S35" s="29">
        <f>IF(INDEX('05_Katalog_Servis'!$H$5:$H$14,MATCH($E35,'05_Katalog_Servis'!$A$5:$A$14,0))=0,"",INDEX('05_Katalog_Servis'!$I$5:$I$14,MATCH($E35,'05_Katalog_Servis'!$A$5:$A$14,0)))</f>
        <v/>
      </c>
      <c r="T35" s="35">
        <f>IF(INDEX('05_Katalog_Servis'!$H$5:$H$14,MATCH($E35,'05_Katalog_Servis'!$A$5:$A$14,0))=0,"",INDEX('05_Katalog_Servis'!$J$5:$J$14,MATCH($E35,'05_Katalog_Servis'!$A$5:$A$14,0)))</f>
        <v/>
      </c>
    </row>
    <row r="36">
      <c r="A36" s="28" t="n">
        <v>412</v>
      </c>
      <c r="B36" s="29">
        <f>INDEX('03_Equipment_Unit'!$B$5:$B$20,MATCH($A36,'03_Equipment_Unit'!$A$5:$A$20,0))</f>
        <v/>
      </c>
      <c r="C36" s="30">
        <f>INDEX('03_Equipment_Unit'!$F$5:$F$20,MATCH($A36,'03_Equipment_Unit'!$A$5:$A$20,0))</f>
        <v/>
      </c>
      <c r="D36" s="30">
        <f>INDEX('03_Equipment_Unit'!$G$5:$G$20,MATCH($A36,'03_Equipment_Unit'!$A$5:$A$20,0))</f>
        <v/>
      </c>
      <c r="E36" s="28" t="n">
        <v>1420</v>
      </c>
      <c r="F36" s="29">
        <f>INDEX('05_Katalog_Servis'!$B$5:$B$14,MATCH($E36,'05_Katalog_Servis'!$A$5:$A$14,0))</f>
        <v/>
      </c>
      <c r="G36" s="30">
        <f>INDEX('05_Katalog_Servis'!$D$5:$D$14,MATCH($E36,'05_Katalog_Servis'!$A$5:$A$14,0))</f>
        <v/>
      </c>
      <c r="H36" s="31">
        <f>SUMPRODUCT(MAX(('06_Riwayat_Beli_Part'!$B$5:$B$17=$C36)*('06_Riwayat_Beli_Part'!$F$5:$F$17=$E36)*'06_Riwayat_Beli_Part'!$E$5:$E$17))</f>
        <v/>
      </c>
      <c r="I36" s="32">
        <f>INDEX('03_Equipment_Unit'!$K$5:$K$20,MATCH($A36,'03_Equipment_Unit'!$A$5:$A$20,0))</f>
        <v/>
      </c>
      <c r="J36" s="29">
        <f>IF($H36=0,"install_date","last_purchase")</f>
        <v/>
      </c>
      <c r="K36" s="33">
        <f>IF($H36=0,$I36,$H36)</f>
        <v/>
      </c>
      <c r="L36" s="33">
        <f>EDATE($K36,$G36)</f>
        <v/>
      </c>
      <c r="M36" s="34">
        <f>IF($L36&lt;'01_Parameter'!$B$5,'01_Parameter'!$B$5-$L36,0)</f>
        <v/>
      </c>
      <c r="N36" s="29">
        <f>IF($L36&lt;'01_Parameter'!$B$5,"overdue",IF($L36&lt;='01_Parameter'!$B$5+'01_Parameter'!$B$6,"due_soon","ok"))</f>
        <v/>
      </c>
      <c r="O36" s="30">
        <f>COUNTIFS('03_Equipment_Unit'!$F$5:$F$20,$C36,'03_Equipment_Unit'!$G$5:$G$20,$D36,'03_Equipment_Unit'!$N$5:$N$20,"active")</f>
        <v/>
      </c>
      <c r="P36" s="29">
        <f>IF($O36&gt;1,"fleet_estimated","unit")</f>
        <v/>
      </c>
      <c r="Q36" s="35">
        <f>IF($O36&gt;1,"Pelanggan memiliki "&amp;$O36&amp;" unit aktif model ini; pembelian tidak dapat ditautkan ke unit tertentu -- sampaikan sebagai perkiraan.","Atribusi pasti: hanya 1 unit aktif dengan model ini.")</f>
        <v/>
      </c>
      <c r="R36" s="30">
        <f>IF(INDEX('05_Katalog_Servis'!$H$5:$H$14,MATCH($E36,'05_Katalog_Servis'!$A$5:$A$14,0))=0,"",INDEX('05_Katalog_Servis'!$H$5:$H$14,MATCH($E36,'05_Katalog_Servis'!$A$5:$A$14,0)))</f>
        <v/>
      </c>
      <c r="S36" s="29">
        <f>IF(INDEX('05_Katalog_Servis'!$H$5:$H$14,MATCH($E36,'05_Katalog_Servis'!$A$5:$A$14,0))=0,"",INDEX('05_Katalog_Servis'!$I$5:$I$14,MATCH($E36,'05_Katalog_Servis'!$A$5:$A$14,0)))</f>
        <v/>
      </c>
      <c r="T36" s="35">
        <f>IF(INDEX('05_Katalog_Servis'!$H$5:$H$14,MATCH($E36,'05_Katalog_Servis'!$A$5:$A$14,0))=0,"",INDEX('05_Katalog_Servis'!$J$5:$J$14,MATCH($E36,'05_Katalog_Servis'!$A$5:$A$14,0)))</f>
        <v/>
      </c>
    </row>
    <row r="37">
      <c r="A37" s="28" t="n">
        <v>413</v>
      </c>
      <c r="B37" s="29">
        <f>INDEX('03_Equipment_Unit'!$B$5:$B$20,MATCH($A37,'03_Equipment_Unit'!$A$5:$A$20,0))</f>
        <v/>
      </c>
      <c r="C37" s="30">
        <f>INDEX('03_Equipment_Unit'!$F$5:$F$20,MATCH($A37,'03_Equipment_Unit'!$A$5:$A$20,0))</f>
        <v/>
      </c>
      <c r="D37" s="30">
        <f>INDEX('03_Equipment_Unit'!$G$5:$G$20,MATCH($A37,'03_Equipment_Unit'!$A$5:$A$20,0))</f>
        <v/>
      </c>
      <c r="E37" s="28" t="n">
        <v>1310</v>
      </c>
      <c r="F37" s="29">
        <f>INDEX('05_Katalog_Servis'!$B$5:$B$14,MATCH($E37,'05_Katalog_Servis'!$A$5:$A$14,0))</f>
        <v/>
      </c>
      <c r="G37" s="30">
        <f>INDEX('05_Katalog_Servis'!$D$5:$D$14,MATCH($E37,'05_Katalog_Servis'!$A$5:$A$14,0))</f>
        <v/>
      </c>
      <c r="H37" s="31">
        <f>SUMPRODUCT(MAX(('06_Riwayat_Beli_Part'!$B$5:$B$17=$C37)*('06_Riwayat_Beli_Part'!$F$5:$F$17=$E37)*'06_Riwayat_Beli_Part'!$E$5:$E$17))</f>
        <v/>
      </c>
      <c r="I37" s="32">
        <f>INDEX('03_Equipment_Unit'!$K$5:$K$20,MATCH($A37,'03_Equipment_Unit'!$A$5:$A$20,0))</f>
        <v/>
      </c>
      <c r="J37" s="29">
        <f>IF($H37=0,"install_date","last_purchase")</f>
        <v/>
      </c>
      <c r="K37" s="33">
        <f>IF($H37=0,$I37,$H37)</f>
        <v/>
      </c>
      <c r="L37" s="33">
        <f>EDATE($K37,$G37)</f>
        <v/>
      </c>
      <c r="M37" s="34">
        <f>IF($L37&lt;'01_Parameter'!$B$5,'01_Parameter'!$B$5-$L37,0)</f>
        <v/>
      </c>
      <c r="N37" s="29">
        <f>IF($L37&lt;'01_Parameter'!$B$5,"overdue",IF($L37&lt;='01_Parameter'!$B$5+'01_Parameter'!$B$6,"due_soon","ok"))</f>
        <v/>
      </c>
      <c r="O37" s="30">
        <f>COUNTIFS('03_Equipment_Unit'!$F$5:$F$20,$C37,'03_Equipment_Unit'!$G$5:$G$20,$D37,'03_Equipment_Unit'!$N$5:$N$20,"active")</f>
        <v/>
      </c>
      <c r="P37" s="29">
        <f>IF($O37&gt;1,"fleet_estimated","unit")</f>
        <v/>
      </c>
      <c r="Q37" s="35">
        <f>IF($O37&gt;1,"Pelanggan memiliki "&amp;$O37&amp;" unit aktif model ini; pembelian tidak dapat ditautkan ke unit tertentu -- sampaikan sebagai perkiraan.","Atribusi pasti: hanya 1 unit aktif dengan model ini.")</f>
        <v/>
      </c>
      <c r="R37" s="30">
        <f>IF(INDEX('05_Katalog_Servis'!$H$5:$H$14,MATCH($E37,'05_Katalog_Servis'!$A$5:$A$14,0))=0,"",INDEX('05_Katalog_Servis'!$H$5:$H$14,MATCH($E37,'05_Katalog_Servis'!$A$5:$A$14,0)))</f>
        <v/>
      </c>
      <c r="S37" s="29">
        <f>IF(INDEX('05_Katalog_Servis'!$H$5:$H$14,MATCH($E37,'05_Katalog_Servis'!$A$5:$A$14,0))=0,"",INDEX('05_Katalog_Servis'!$I$5:$I$14,MATCH($E37,'05_Katalog_Servis'!$A$5:$A$14,0)))</f>
        <v/>
      </c>
      <c r="T37" s="35">
        <f>IF(INDEX('05_Katalog_Servis'!$H$5:$H$14,MATCH($E37,'05_Katalog_Servis'!$A$5:$A$14,0))=0,"",INDEX('05_Katalog_Servis'!$J$5:$J$14,MATCH($E37,'05_Katalog_Servis'!$A$5:$A$14,0)))</f>
        <v/>
      </c>
    </row>
    <row r="38">
      <c r="A38" s="28" t="n">
        <v>413</v>
      </c>
      <c r="B38" s="29">
        <f>INDEX('03_Equipment_Unit'!$B$5:$B$20,MATCH($A38,'03_Equipment_Unit'!$A$5:$A$20,0))</f>
        <v/>
      </c>
      <c r="C38" s="30">
        <f>INDEX('03_Equipment_Unit'!$F$5:$F$20,MATCH($A38,'03_Equipment_Unit'!$A$5:$A$20,0))</f>
        <v/>
      </c>
      <c r="D38" s="30">
        <f>INDEX('03_Equipment_Unit'!$G$5:$G$20,MATCH($A38,'03_Equipment_Unit'!$A$5:$A$20,0))</f>
        <v/>
      </c>
      <c r="E38" s="28" t="n">
        <v>1315</v>
      </c>
      <c r="F38" s="29">
        <f>INDEX('05_Katalog_Servis'!$B$5:$B$14,MATCH($E38,'05_Katalog_Servis'!$A$5:$A$14,0))</f>
        <v/>
      </c>
      <c r="G38" s="30">
        <f>INDEX('05_Katalog_Servis'!$D$5:$D$14,MATCH($E38,'05_Katalog_Servis'!$A$5:$A$14,0))</f>
        <v/>
      </c>
      <c r="H38" s="31">
        <f>SUMPRODUCT(MAX(('06_Riwayat_Beli_Part'!$B$5:$B$17=$C38)*('06_Riwayat_Beli_Part'!$F$5:$F$17=$E38)*'06_Riwayat_Beli_Part'!$E$5:$E$17))</f>
        <v/>
      </c>
      <c r="I38" s="32">
        <f>INDEX('03_Equipment_Unit'!$K$5:$K$20,MATCH($A38,'03_Equipment_Unit'!$A$5:$A$20,0))</f>
        <v/>
      </c>
      <c r="J38" s="29">
        <f>IF($H38=0,"install_date","last_purchase")</f>
        <v/>
      </c>
      <c r="K38" s="33">
        <f>IF($H38=0,$I38,$H38)</f>
        <v/>
      </c>
      <c r="L38" s="33">
        <f>EDATE($K38,$G38)</f>
        <v/>
      </c>
      <c r="M38" s="34">
        <f>IF($L38&lt;'01_Parameter'!$B$5,'01_Parameter'!$B$5-$L38,0)</f>
        <v/>
      </c>
      <c r="N38" s="29">
        <f>IF($L38&lt;'01_Parameter'!$B$5,"overdue",IF($L38&lt;='01_Parameter'!$B$5+'01_Parameter'!$B$6,"due_soon","ok"))</f>
        <v/>
      </c>
      <c r="O38" s="30">
        <f>COUNTIFS('03_Equipment_Unit'!$F$5:$F$20,$C38,'03_Equipment_Unit'!$G$5:$G$20,$D38,'03_Equipment_Unit'!$N$5:$N$20,"active")</f>
        <v/>
      </c>
      <c r="P38" s="29">
        <f>IF($O38&gt;1,"fleet_estimated","unit")</f>
        <v/>
      </c>
      <c r="Q38" s="35">
        <f>IF($O38&gt;1,"Pelanggan memiliki "&amp;$O38&amp;" unit aktif model ini; pembelian tidak dapat ditautkan ke unit tertentu -- sampaikan sebagai perkiraan.","Atribusi pasti: hanya 1 unit aktif dengan model ini.")</f>
        <v/>
      </c>
      <c r="R38" s="30">
        <f>IF(INDEX('05_Katalog_Servis'!$H$5:$H$14,MATCH($E38,'05_Katalog_Servis'!$A$5:$A$14,0))=0,"",INDEX('05_Katalog_Servis'!$H$5:$H$14,MATCH($E38,'05_Katalog_Servis'!$A$5:$A$14,0)))</f>
        <v/>
      </c>
      <c r="S38" s="29">
        <f>IF(INDEX('05_Katalog_Servis'!$H$5:$H$14,MATCH($E38,'05_Katalog_Servis'!$A$5:$A$14,0))=0,"",INDEX('05_Katalog_Servis'!$I$5:$I$14,MATCH($E38,'05_Katalog_Servis'!$A$5:$A$14,0)))</f>
        <v/>
      </c>
      <c r="T38" s="35">
        <f>IF(INDEX('05_Katalog_Servis'!$H$5:$H$14,MATCH($E38,'05_Katalog_Servis'!$A$5:$A$14,0))=0,"",INDEX('05_Katalog_Servis'!$J$5:$J$14,MATCH($E38,'05_Katalog_Servis'!$A$5:$A$14,0)))</f>
        <v/>
      </c>
    </row>
    <row r="39">
      <c r="A39" s="28" t="n">
        <v>414</v>
      </c>
      <c r="B39" s="29">
        <f>INDEX('03_Equipment_Unit'!$B$5:$B$20,MATCH($A39,'03_Equipment_Unit'!$A$5:$A$20,0))</f>
        <v/>
      </c>
      <c r="C39" s="30">
        <f>INDEX('03_Equipment_Unit'!$F$5:$F$20,MATCH($A39,'03_Equipment_Unit'!$A$5:$A$20,0))</f>
        <v/>
      </c>
      <c r="D39" s="30">
        <f>INDEX('03_Equipment_Unit'!$G$5:$G$20,MATCH($A39,'03_Equipment_Unit'!$A$5:$A$20,0))</f>
        <v/>
      </c>
      <c r="E39" s="28" t="n">
        <v>1180</v>
      </c>
      <c r="F39" s="29">
        <f>INDEX('05_Katalog_Servis'!$B$5:$B$14,MATCH($E39,'05_Katalog_Servis'!$A$5:$A$14,0))</f>
        <v/>
      </c>
      <c r="G39" s="30">
        <f>INDEX('05_Katalog_Servis'!$D$5:$D$14,MATCH($E39,'05_Katalog_Servis'!$A$5:$A$14,0))</f>
        <v/>
      </c>
      <c r="H39" s="31">
        <f>SUMPRODUCT(MAX(('06_Riwayat_Beli_Part'!$B$5:$B$17=$C39)*('06_Riwayat_Beli_Part'!$F$5:$F$17=$E39)*'06_Riwayat_Beli_Part'!$E$5:$E$17))</f>
        <v/>
      </c>
      <c r="I39" s="32">
        <f>INDEX('03_Equipment_Unit'!$K$5:$K$20,MATCH($A39,'03_Equipment_Unit'!$A$5:$A$20,0))</f>
        <v/>
      </c>
      <c r="J39" s="29">
        <f>IF($H39=0,"install_date","last_purchase")</f>
        <v/>
      </c>
      <c r="K39" s="33">
        <f>IF($H39=0,$I39,$H39)</f>
        <v/>
      </c>
      <c r="L39" s="33">
        <f>EDATE($K39,$G39)</f>
        <v/>
      </c>
      <c r="M39" s="34">
        <f>IF($L39&lt;'01_Parameter'!$B$5,'01_Parameter'!$B$5-$L39,0)</f>
        <v/>
      </c>
      <c r="N39" s="29">
        <f>IF($L39&lt;'01_Parameter'!$B$5,"overdue",IF($L39&lt;='01_Parameter'!$B$5+'01_Parameter'!$B$6,"due_soon","ok"))</f>
        <v/>
      </c>
      <c r="O39" s="30">
        <f>COUNTIFS('03_Equipment_Unit'!$F$5:$F$20,$C39,'03_Equipment_Unit'!$G$5:$G$20,$D39,'03_Equipment_Unit'!$N$5:$N$20,"active")</f>
        <v/>
      </c>
      <c r="P39" s="29">
        <f>IF($O39&gt;1,"fleet_estimated","unit")</f>
        <v/>
      </c>
      <c r="Q39" s="35">
        <f>IF($O39&gt;1,"Pelanggan memiliki "&amp;$O39&amp;" unit aktif model ini; pembelian tidak dapat ditautkan ke unit tertentu -- sampaikan sebagai perkiraan.","Atribusi pasti: hanya 1 unit aktif dengan model ini.")</f>
        <v/>
      </c>
      <c r="R39" s="30">
        <f>IF(INDEX('05_Katalog_Servis'!$H$5:$H$14,MATCH($E39,'05_Katalog_Servis'!$A$5:$A$14,0))=0,"",INDEX('05_Katalog_Servis'!$H$5:$H$14,MATCH($E39,'05_Katalog_Servis'!$A$5:$A$14,0)))</f>
        <v/>
      </c>
      <c r="S39" s="29">
        <f>IF(INDEX('05_Katalog_Servis'!$H$5:$H$14,MATCH($E39,'05_Katalog_Servis'!$A$5:$A$14,0))=0,"",INDEX('05_Katalog_Servis'!$I$5:$I$14,MATCH($E39,'05_Katalog_Servis'!$A$5:$A$14,0)))</f>
        <v/>
      </c>
      <c r="T39" s="35">
        <f>IF(INDEX('05_Katalog_Servis'!$H$5:$H$14,MATCH($E39,'05_Katalog_Servis'!$A$5:$A$14,0))=0,"",INDEX('05_Katalog_Servis'!$J$5:$J$14,MATCH($E39,'05_Katalog_Servis'!$A$5:$A$14,0)))</f>
        <v/>
      </c>
    </row>
    <row r="40">
      <c r="A40" s="28" t="n">
        <v>414</v>
      </c>
      <c r="B40" s="29">
        <f>INDEX('03_Equipment_Unit'!$B$5:$B$20,MATCH($A40,'03_Equipment_Unit'!$A$5:$A$20,0))</f>
        <v/>
      </c>
      <c r="C40" s="30">
        <f>INDEX('03_Equipment_Unit'!$F$5:$F$20,MATCH($A40,'03_Equipment_Unit'!$A$5:$A$20,0))</f>
        <v/>
      </c>
      <c r="D40" s="30">
        <f>INDEX('03_Equipment_Unit'!$G$5:$G$20,MATCH($A40,'03_Equipment_Unit'!$A$5:$A$20,0))</f>
        <v/>
      </c>
      <c r="E40" s="28" t="n">
        <v>1182</v>
      </c>
      <c r="F40" s="29">
        <f>INDEX('05_Katalog_Servis'!$B$5:$B$14,MATCH($E40,'05_Katalog_Servis'!$A$5:$A$14,0))</f>
        <v/>
      </c>
      <c r="G40" s="30">
        <f>INDEX('05_Katalog_Servis'!$D$5:$D$14,MATCH($E40,'05_Katalog_Servis'!$A$5:$A$14,0))</f>
        <v/>
      </c>
      <c r="H40" s="31">
        <f>SUMPRODUCT(MAX(('06_Riwayat_Beli_Part'!$B$5:$B$17=$C40)*('06_Riwayat_Beli_Part'!$F$5:$F$17=$E40)*'06_Riwayat_Beli_Part'!$E$5:$E$17))</f>
        <v/>
      </c>
      <c r="I40" s="32">
        <f>INDEX('03_Equipment_Unit'!$K$5:$K$20,MATCH($A40,'03_Equipment_Unit'!$A$5:$A$20,0))</f>
        <v/>
      </c>
      <c r="J40" s="29">
        <f>IF($H40=0,"install_date","last_purchase")</f>
        <v/>
      </c>
      <c r="K40" s="33">
        <f>IF($H40=0,$I40,$H40)</f>
        <v/>
      </c>
      <c r="L40" s="33">
        <f>EDATE($K40,$G40)</f>
        <v/>
      </c>
      <c r="M40" s="34">
        <f>IF($L40&lt;'01_Parameter'!$B$5,'01_Parameter'!$B$5-$L40,0)</f>
        <v/>
      </c>
      <c r="N40" s="29">
        <f>IF($L40&lt;'01_Parameter'!$B$5,"overdue",IF($L40&lt;='01_Parameter'!$B$5+'01_Parameter'!$B$6,"due_soon","ok"))</f>
        <v/>
      </c>
      <c r="O40" s="30">
        <f>COUNTIFS('03_Equipment_Unit'!$F$5:$F$20,$C40,'03_Equipment_Unit'!$G$5:$G$20,$D40,'03_Equipment_Unit'!$N$5:$N$20,"active")</f>
        <v/>
      </c>
      <c r="P40" s="29">
        <f>IF($O40&gt;1,"fleet_estimated","unit")</f>
        <v/>
      </c>
      <c r="Q40" s="35">
        <f>IF($O40&gt;1,"Pelanggan memiliki "&amp;$O40&amp;" unit aktif model ini; pembelian tidak dapat ditautkan ke unit tertentu -- sampaikan sebagai perkiraan.","Atribusi pasti: hanya 1 unit aktif dengan model ini.")</f>
        <v/>
      </c>
      <c r="R40" s="30">
        <f>IF(INDEX('05_Katalog_Servis'!$H$5:$H$14,MATCH($E40,'05_Katalog_Servis'!$A$5:$A$14,0))=0,"",INDEX('05_Katalog_Servis'!$H$5:$H$14,MATCH($E40,'05_Katalog_Servis'!$A$5:$A$14,0)))</f>
        <v/>
      </c>
      <c r="S40" s="29">
        <f>IF(INDEX('05_Katalog_Servis'!$H$5:$H$14,MATCH($E40,'05_Katalog_Servis'!$A$5:$A$14,0))=0,"",INDEX('05_Katalog_Servis'!$I$5:$I$14,MATCH($E40,'05_Katalog_Servis'!$A$5:$A$14,0)))</f>
        <v/>
      </c>
      <c r="T40" s="35">
        <f>IF(INDEX('05_Katalog_Servis'!$H$5:$H$14,MATCH($E40,'05_Katalog_Servis'!$A$5:$A$14,0))=0,"",INDEX('05_Katalog_Servis'!$J$5:$J$14,MATCH($E40,'05_Katalog_Servis'!$A$5:$A$14,0)))</f>
        <v/>
      </c>
    </row>
    <row r="41">
      <c r="A41" s="28" t="n">
        <v>420</v>
      </c>
      <c r="B41" s="29">
        <f>INDEX('03_Equipment_Unit'!$B$5:$B$20,MATCH($A41,'03_Equipment_Unit'!$A$5:$A$20,0))</f>
        <v/>
      </c>
      <c r="C41" s="30">
        <f>INDEX('03_Equipment_Unit'!$F$5:$F$20,MATCH($A41,'03_Equipment_Unit'!$A$5:$A$20,0))</f>
        <v/>
      </c>
      <c r="D41" s="30">
        <f>INDEX('03_Equipment_Unit'!$G$5:$G$20,MATCH($A41,'03_Equipment_Unit'!$A$5:$A$20,0))</f>
        <v/>
      </c>
      <c r="E41" s="28" t="n">
        <v>1180</v>
      </c>
      <c r="F41" s="29">
        <f>INDEX('05_Katalog_Servis'!$B$5:$B$14,MATCH($E41,'05_Katalog_Servis'!$A$5:$A$14,0))</f>
        <v/>
      </c>
      <c r="G41" s="30">
        <f>INDEX('05_Katalog_Servis'!$D$5:$D$14,MATCH($E41,'05_Katalog_Servis'!$A$5:$A$14,0))</f>
        <v/>
      </c>
      <c r="H41" s="31">
        <f>SUMPRODUCT(MAX(('06_Riwayat_Beli_Part'!$B$5:$B$17=$C41)*('06_Riwayat_Beli_Part'!$F$5:$F$17=$E41)*'06_Riwayat_Beli_Part'!$E$5:$E$17))</f>
        <v/>
      </c>
      <c r="I41" s="32">
        <f>INDEX('03_Equipment_Unit'!$K$5:$K$20,MATCH($A41,'03_Equipment_Unit'!$A$5:$A$20,0))</f>
        <v/>
      </c>
      <c r="J41" s="29">
        <f>IF($H41=0,"install_date","last_purchase")</f>
        <v/>
      </c>
      <c r="K41" s="33">
        <f>IF($H41=0,$I41,$H41)</f>
        <v/>
      </c>
      <c r="L41" s="33">
        <f>EDATE($K41,$G41)</f>
        <v/>
      </c>
      <c r="M41" s="34">
        <f>IF($L41&lt;'01_Parameter'!$B$5,'01_Parameter'!$B$5-$L41,0)</f>
        <v/>
      </c>
      <c r="N41" s="29">
        <f>IF($L41&lt;'01_Parameter'!$B$5,"overdue",IF($L41&lt;='01_Parameter'!$B$5+'01_Parameter'!$B$6,"due_soon","ok"))</f>
        <v/>
      </c>
      <c r="O41" s="30">
        <f>COUNTIFS('03_Equipment_Unit'!$F$5:$F$20,$C41,'03_Equipment_Unit'!$G$5:$G$20,$D41,'03_Equipment_Unit'!$N$5:$N$20,"active")</f>
        <v/>
      </c>
      <c r="P41" s="29">
        <f>IF($O41&gt;1,"fleet_estimated","unit")</f>
        <v/>
      </c>
      <c r="Q41" s="35">
        <f>IF($O41&gt;1,"Pelanggan memiliki "&amp;$O41&amp;" unit aktif model ini; pembelian tidak dapat ditautkan ke unit tertentu -- sampaikan sebagai perkiraan.","Atribusi pasti: hanya 1 unit aktif dengan model ini.")</f>
        <v/>
      </c>
      <c r="R41" s="30">
        <f>IF(INDEX('05_Katalog_Servis'!$H$5:$H$14,MATCH($E41,'05_Katalog_Servis'!$A$5:$A$14,0))=0,"",INDEX('05_Katalog_Servis'!$H$5:$H$14,MATCH($E41,'05_Katalog_Servis'!$A$5:$A$14,0)))</f>
        <v/>
      </c>
      <c r="S41" s="29">
        <f>IF(INDEX('05_Katalog_Servis'!$H$5:$H$14,MATCH($E41,'05_Katalog_Servis'!$A$5:$A$14,0))=0,"",INDEX('05_Katalog_Servis'!$I$5:$I$14,MATCH($E41,'05_Katalog_Servis'!$A$5:$A$14,0)))</f>
        <v/>
      </c>
      <c r="T41" s="35">
        <f>IF(INDEX('05_Katalog_Servis'!$H$5:$H$14,MATCH($E41,'05_Katalog_Servis'!$A$5:$A$14,0))=0,"",INDEX('05_Katalog_Servis'!$J$5:$J$14,MATCH($E41,'05_Katalog_Servis'!$A$5:$A$14,0)))</f>
        <v/>
      </c>
    </row>
    <row r="42">
      <c r="A42" s="28" t="n">
        <v>420</v>
      </c>
      <c r="B42" s="29">
        <f>INDEX('03_Equipment_Unit'!$B$5:$B$20,MATCH($A42,'03_Equipment_Unit'!$A$5:$A$20,0))</f>
        <v/>
      </c>
      <c r="C42" s="30">
        <f>INDEX('03_Equipment_Unit'!$F$5:$F$20,MATCH($A42,'03_Equipment_Unit'!$A$5:$A$20,0))</f>
        <v/>
      </c>
      <c r="D42" s="30">
        <f>INDEX('03_Equipment_Unit'!$G$5:$G$20,MATCH($A42,'03_Equipment_Unit'!$A$5:$A$20,0))</f>
        <v/>
      </c>
      <c r="E42" s="28" t="n">
        <v>1182</v>
      </c>
      <c r="F42" s="29">
        <f>INDEX('05_Katalog_Servis'!$B$5:$B$14,MATCH($E42,'05_Katalog_Servis'!$A$5:$A$14,0))</f>
        <v/>
      </c>
      <c r="G42" s="30">
        <f>INDEX('05_Katalog_Servis'!$D$5:$D$14,MATCH($E42,'05_Katalog_Servis'!$A$5:$A$14,0))</f>
        <v/>
      </c>
      <c r="H42" s="31">
        <f>SUMPRODUCT(MAX(('06_Riwayat_Beli_Part'!$B$5:$B$17=$C42)*('06_Riwayat_Beli_Part'!$F$5:$F$17=$E42)*'06_Riwayat_Beli_Part'!$E$5:$E$17))</f>
        <v/>
      </c>
      <c r="I42" s="32">
        <f>INDEX('03_Equipment_Unit'!$K$5:$K$20,MATCH($A42,'03_Equipment_Unit'!$A$5:$A$20,0))</f>
        <v/>
      </c>
      <c r="J42" s="29">
        <f>IF($H42=0,"install_date","last_purchase")</f>
        <v/>
      </c>
      <c r="K42" s="33">
        <f>IF($H42=0,$I42,$H42)</f>
        <v/>
      </c>
      <c r="L42" s="33">
        <f>EDATE($K42,$G42)</f>
        <v/>
      </c>
      <c r="M42" s="34">
        <f>IF($L42&lt;'01_Parameter'!$B$5,'01_Parameter'!$B$5-$L42,0)</f>
        <v/>
      </c>
      <c r="N42" s="29">
        <f>IF($L42&lt;'01_Parameter'!$B$5,"overdue",IF($L42&lt;='01_Parameter'!$B$5+'01_Parameter'!$B$6,"due_soon","ok"))</f>
        <v/>
      </c>
      <c r="O42" s="30">
        <f>COUNTIFS('03_Equipment_Unit'!$F$5:$F$20,$C42,'03_Equipment_Unit'!$G$5:$G$20,$D42,'03_Equipment_Unit'!$N$5:$N$20,"active")</f>
        <v/>
      </c>
      <c r="P42" s="29">
        <f>IF($O42&gt;1,"fleet_estimated","unit")</f>
        <v/>
      </c>
      <c r="Q42" s="35">
        <f>IF($O42&gt;1,"Pelanggan memiliki "&amp;$O42&amp;" unit aktif model ini; pembelian tidak dapat ditautkan ke unit tertentu -- sampaikan sebagai perkiraan.","Atribusi pasti: hanya 1 unit aktif dengan model ini.")</f>
        <v/>
      </c>
      <c r="R42" s="30">
        <f>IF(INDEX('05_Katalog_Servis'!$H$5:$H$14,MATCH($E42,'05_Katalog_Servis'!$A$5:$A$14,0))=0,"",INDEX('05_Katalog_Servis'!$H$5:$H$14,MATCH($E42,'05_Katalog_Servis'!$A$5:$A$14,0)))</f>
        <v/>
      </c>
      <c r="S42" s="29">
        <f>IF(INDEX('05_Katalog_Servis'!$H$5:$H$14,MATCH($E42,'05_Katalog_Servis'!$A$5:$A$14,0))=0,"",INDEX('05_Katalog_Servis'!$I$5:$I$14,MATCH($E42,'05_Katalog_Servis'!$A$5:$A$14,0)))</f>
        <v/>
      </c>
      <c r="T42" s="35">
        <f>IF(INDEX('05_Katalog_Servis'!$H$5:$H$14,MATCH($E42,'05_Katalog_Servis'!$A$5:$A$14,0))=0,"",INDEX('05_Katalog_Servis'!$J$5:$J$14,MATCH($E42,'05_Katalog_Servis'!$A$5:$A$14,0)))</f>
        <v/>
      </c>
    </row>
    <row r="43">
      <c r="A43" s="28" t="n">
        <v>420</v>
      </c>
      <c r="B43" s="29">
        <f>INDEX('03_Equipment_Unit'!$B$5:$B$20,MATCH($A43,'03_Equipment_Unit'!$A$5:$A$20,0))</f>
        <v/>
      </c>
      <c r="C43" s="30">
        <f>INDEX('03_Equipment_Unit'!$F$5:$F$20,MATCH($A43,'03_Equipment_Unit'!$A$5:$A$20,0))</f>
        <v/>
      </c>
      <c r="D43" s="30">
        <f>INDEX('03_Equipment_Unit'!$G$5:$G$20,MATCH($A43,'03_Equipment_Unit'!$A$5:$A$20,0))</f>
        <v/>
      </c>
      <c r="E43" s="28" t="n">
        <v>1185</v>
      </c>
      <c r="F43" s="29">
        <f>INDEX('05_Katalog_Servis'!$B$5:$B$14,MATCH($E43,'05_Katalog_Servis'!$A$5:$A$14,0))</f>
        <v/>
      </c>
      <c r="G43" s="30">
        <f>INDEX('05_Katalog_Servis'!$D$5:$D$14,MATCH($E43,'05_Katalog_Servis'!$A$5:$A$14,0))</f>
        <v/>
      </c>
      <c r="H43" s="31">
        <f>SUMPRODUCT(MAX(('06_Riwayat_Beli_Part'!$B$5:$B$17=$C43)*('06_Riwayat_Beli_Part'!$F$5:$F$17=$E43)*'06_Riwayat_Beli_Part'!$E$5:$E$17))</f>
        <v/>
      </c>
      <c r="I43" s="32">
        <f>INDEX('03_Equipment_Unit'!$K$5:$K$20,MATCH($A43,'03_Equipment_Unit'!$A$5:$A$20,0))</f>
        <v/>
      </c>
      <c r="J43" s="29">
        <f>IF($H43=0,"install_date","last_purchase")</f>
        <v/>
      </c>
      <c r="K43" s="33">
        <f>IF($H43=0,$I43,$H43)</f>
        <v/>
      </c>
      <c r="L43" s="33">
        <f>EDATE($K43,$G43)</f>
        <v/>
      </c>
      <c r="M43" s="34">
        <f>IF($L43&lt;'01_Parameter'!$B$5,'01_Parameter'!$B$5-$L43,0)</f>
        <v/>
      </c>
      <c r="N43" s="29">
        <f>IF($L43&lt;'01_Parameter'!$B$5,"overdue",IF($L43&lt;='01_Parameter'!$B$5+'01_Parameter'!$B$6,"due_soon","ok"))</f>
        <v/>
      </c>
      <c r="O43" s="30">
        <f>COUNTIFS('03_Equipment_Unit'!$F$5:$F$20,$C43,'03_Equipment_Unit'!$G$5:$G$20,$D43,'03_Equipment_Unit'!$N$5:$N$20,"active")</f>
        <v/>
      </c>
      <c r="P43" s="29">
        <f>IF($O43&gt;1,"fleet_estimated","unit")</f>
        <v/>
      </c>
      <c r="Q43" s="35">
        <f>IF($O43&gt;1,"Pelanggan memiliki "&amp;$O43&amp;" unit aktif model ini; pembelian tidak dapat ditautkan ke unit tertentu -- sampaikan sebagai perkiraan.","Atribusi pasti: hanya 1 unit aktif dengan model ini.")</f>
        <v/>
      </c>
      <c r="R43" s="30">
        <f>IF(INDEX('05_Katalog_Servis'!$H$5:$H$14,MATCH($E43,'05_Katalog_Servis'!$A$5:$A$14,0))=0,"",INDEX('05_Katalog_Servis'!$H$5:$H$14,MATCH($E43,'05_Katalog_Servis'!$A$5:$A$14,0)))</f>
        <v/>
      </c>
      <c r="S43" s="29">
        <f>IF(INDEX('05_Katalog_Servis'!$H$5:$H$14,MATCH($E43,'05_Katalog_Servis'!$A$5:$A$14,0))=0,"",INDEX('05_Katalog_Servis'!$I$5:$I$14,MATCH($E43,'05_Katalog_Servis'!$A$5:$A$14,0)))</f>
        <v/>
      </c>
      <c r="T43" s="35">
        <f>IF(INDEX('05_Katalog_Servis'!$H$5:$H$14,MATCH($E43,'05_Katalog_Servis'!$A$5:$A$14,0))=0,"",INDEX('05_Katalog_Servis'!$J$5:$J$14,MATCH($E43,'05_Katalog_Servis'!$A$5:$A$14,0)))</f>
        <v/>
      </c>
    </row>
    <row r="44">
      <c r="A44" s="28" t="n">
        <v>420</v>
      </c>
      <c r="B44" s="29">
        <f>INDEX('03_Equipment_Unit'!$B$5:$B$20,MATCH($A44,'03_Equipment_Unit'!$A$5:$A$20,0))</f>
        <v/>
      </c>
      <c r="C44" s="30">
        <f>INDEX('03_Equipment_Unit'!$F$5:$F$20,MATCH($A44,'03_Equipment_Unit'!$A$5:$A$20,0))</f>
        <v/>
      </c>
      <c r="D44" s="30">
        <f>INDEX('03_Equipment_Unit'!$G$5:$G$20,MATCH($A44,'03_Equipment_Unit'!$A$5:$A$20,0))</f>
        <v/>
      </c>
      <c r="E44" s="28" t="n">
        <v>1190</v>
      </c>
      <c r="F44" s="29">
        <f>INDEX('05_Katalog_Servis'!$B$5:$B$14,MATCH($E44,'05_Katalog_Servis'!$A$5:$A$14,0))</f>
        <v/>
      </c>
      <c r="G44" s="30">
        <f>INDEX('05_Katalog_Servis'!$D$5:$D$14,MATCH($E44,'05_Katalog_Servis'!$A$5:$A$14,0))</f>
        <v/>
      </c>
      <c r="H44" s="31">
        <f>SUMPRODUCT(MAX(('06_Riwayat_Beli_Part'!$B$5:$B$17=$C44)*('06_Riwayat_Beli_Part'!$F$5:$F$17=$E44)*'06_Riwayat_Beli_Part'!$E$5:$E$17))</f>
        <v/>
      </c>
      <c r="I44" s="32">
        <f>INDEX('03_Equipment_Unit'!$K$5:$K$20,MATCH($A44,'03_Equipment_Unit'!$A$5:$A$20,0))</f>
        <v/>
      </c>
      <c r="J44" s="29">
        <f>IF($H44=0,"install_date","last_purchase")</f>
        <v/>
      </c>
      <c r="K44" s="33">
        <f>IF($H44=0,$I44,$H44)</f>
        <v/>
      </c>
      <c r="L44" s="33">
        <f>EDATE($K44,$G44)</f>
        <v/>
      </c>
      <c r="M44" s="34">
        <f>IF($L44&lt;'01_Parameter'!$B$5,'01_Parameter'!$B$5-$L44,0)</f>
        <v/>
      </c>
      <c r="N44" s="29">
        <f>IF($L44&lt;'01_Parameter'!$B$5,"overdue",IF($L44&lt;='01_Parameter'!$B$5+'01_Parameter'!$B$6,"due_soon","ok"))</f>
        <v/>
      </c>
      <c r="O44" s="30">
        <f>COUNTIFS('03_Equipment_Unit'!$F$5:$F$20,$C44,'03_Equipment_Unit'!$G$5:$G$20,$D44,'03_Equipment_Unit'!$N$5:$N$20,"active")</f>
        <v/>
      </c>
      <c r="P44" s="29">
        <f>IF($O44&gt;1,"fleet_estimated","unit")</f>
        <v/>
      </c>
      <c r="Q44" s="35">
        <f>IF($O44&gt;1,"Pelanggan memiliki "&amp;$O44&amp;" unit aktif model ini; pembelian tidak dapat ditautkan ke unit tertentu -- sampaikan sebagai perkiraan.","Atribusi pasti: hanya 1 unit aktif dengan model ini.")</f>
        <v/>
      </c>
      <c r="R44" s="30">
        <f>IF(INDEX('05_Katalog_Servis'!$H$5:$H$14,MATCH($E44,'05_Katalog_Servis'!$A$5:$A$14,0))=0,"",INDEX('05_Katalog_Servis'!$H$5:$H$14,MATCH($E44,'05_Katalog_Servis'!$A$5:$A$14,0)))</f>
        <v/>
      </c>
      <c r="S44" s="29">
        <f>IF(INDEX('05_Katalog_Servis'!$H$5:$H$14,MATCH($E44,'05_Katalog_Servis'!$A$5:$A$14,0))=0,"",INDEX('05_Katalog_Servis'!$I$5:$I$14,MATCH($E44,'05_Katalog_Servis'!$A$5:$A$14,0)))</f>
        <v/>
      </c>
      <c r="T44" s="35">
        <f>IF(INDEX('05_Katalog_Servis'!$H$5:$H$14,MATCH($E44,'05_Katalog_Servis'!$A$5:$A$14,0))=0,"",INDEX('05_Katalog_Servis'!$J$5:$J$14,MATCH($E44,'05_Katalog_Servis'!$A$5:$A$14,0)))</f>
        <v/>
      </c>
    </row>
    <row r="45">
      <c r="A45" s="28" t="n">
        <v>420</v>
      </c>
      <c r="B45" s="29">
        <f>INDEX('03_Equipment_Unit'!$B$5:$B$20,MATCH($A45,'03_Equipment_Unit'!$A$5:$A$20,0))</f>
        <v/>
      </c>
      <c r="C45" s="30">
        <f>INDEX('03_Equipment_Unit'!$F$5:$F$20,MATCH($A45,'03_Equipment_Unit'!$A$5:$A$20,0))</f>
        <v/>
      </c>
      <c r="D45" s="30">
        <f>INDEX('03_Equipment_Unit'!$G$5:$G$20,MATCH($A45,'03_Equipment_Unit'!$A$5:$A$20,0))</f>
        <v/>
      </c>
      <c r="E45" s="28" t="n">
        <v>1192</v>
      </c>
      <c r="F45" s="29">
        <f>INDEX('05_Katalog_Servis'!$B$5:$B$14,MATCH($E45,'05_Katalog_Servis'!$A$5:$A$14,0))</f>
        <v/>
      </c>
      <c r="G45" s="30">
        <f>INDEX('05_Katalog_Servis'!$D$5:$D$14,MATCH($E45,'05_Katalog_Servis'!$A$5:$A$14,0))</f>
        <v/>
      </c>
      <c r="H45" s="31">
        <f>SUMPRODUCT(MAX(('06_Riwayat_Beli_Part'!$B$5:$B$17=$C45)*('06_Riwayat_Beli_Part'!$F$5:$F$17=$E45)*'06_Riwayat_Beli_Part'!$E$5:$E$17))</f>
        <v/>
      </c>
      <c r="I45" s="32">
        <f>INDEX('03_Equipment_Unit'!$K$5:$K$20,MATCH($A45,'03_Equipment_Unit'!$A$5:$A$20,0))</f>
        <v/>
      </c>
      <c r="J45" s="29">
        <f>IF($H45=0,"install_date","last_purchase")</f>
        <v/>
      </c>
      <c r="K45" s="33">
        <f>IF($H45=0,$I45,$H45)</f>
        <v/>
      </c>
      <c r="L45" s="33">
        <f>EDATE($K45,$G45)</f>
        <v/>
      </c>
      <c r="M45" s="34">
        <f>IF($L45&lt;'01_Parameter'!$B$5,'01_Parameter'!$B$5-$L45,0)</f>
        <v/>
      </c>
      <c r="N45" s="29">
        <f>IF($L45&lt;'01_Parameter'!$B$5,"overdue",IF($L45&lt;='01_Parameter'!$B$5+'01_Parameter'!$B$6,"due_soon","ok"))</f>
        <v/>
      </c>
      <c r="O45" s="30">
        <f>COUNTIFS('03_Equipment_Unit'!$F$5:$F$20,$C45,'03_Equipment_Unit'!$G$5:$G$20,$D45,'03_Equipment_Unit'!$N$5:$N$20,"active")</f>
        <v/>
      </c>
      <c r="P45" s="29">
        <f>IF($O45&gt;1,"fleet_estimated","unit")</f>
        <v/>
      </c>
      <c r="Q45" s="35">
        <f>IF($O45&gt;1,"Pelanggan memiliki "&amp;$O45&amp;" unit aktif model ini; pembelian tidak dapat ditautkan ke unit tertentu -- sampaikan sebagai perkiraan.","Atribusi pasti: hanya 1 unit aktif dengan model ini.")</f>
        <v/>
      </c>
      <c r="R45" s="30">
        <f>IF(INDEX('05_Katalog_Servis'!$H$5:$H$14,MATCH($E45,'05_Katalog_Servis'!$A$5:$A$14,0))=0,"",INDEX('05_Katalog_Servis'!$H$5:$H$14,MATCH($E45,'05_Katalog_Servis'!$A$5:$A$14,0)))</f>
        <v/>
      </c>
      <c r="S45" s="29">
        <f>IF(INDEX('05_Katalog_Servis'!$H$5:$H$14,MATCH($E45,'05_Katalog_Servis'!$A$5:$A$14,0))=0,"",INDEX('05_Katalog_Servis'!$I$5:$I$14,MATCH($E45,'05_Katalog_Servis'!$A$5:$A$14,0)))</f>
        <v/>
      </c>
      <c r="T45" s="35">
        <f>IF(INDEX('05_Katalog_Servis'!$H$5:$H$14,MATCH($E45,'05_Katalog_Servis'!$A$5:$A$14,0))=0,"",INDEX('05_Katalog_Servis'!$J$5:$J$14,MATCH($E45,'05_Katalog_Servis'!$A$5:$A$14,0)))</f>
        <v/>
      </c>
    </row>
    <row r="46">
      <c r="A46" s="28" t="n">
        <v>422</v>
      </c>
      <c r="B46" s="29">
        <f>INDEX('03_Equipment_Unit'!$B$5:$B$20,MATCH($A46,'03_Equipment_Unit'!$A$5:$A$20,0))</f>
        <v/>
      </c>
      <c r="C46" s="30">
        <f>INDEX('03_Equipment_Unit'!$F$5:$F$20,MATCH($A46,'03_Equipment_Unit'!$A$5:$A$20,0))</f>
        <v/>
      </c>
      <c r="D46" s="30">
        <f>INDEX('03_Equipment_Unit'!$G$5:$G$20,MATCH($A46,'03_Equipment_Unit'!$A$5:$A$20,0))</f>
        <v/>
      </c>
      <c r="E46" s="28" t="n">
        <v>1420</v>
      </c>
      <c r="F46" s="29">
        <f>INDEX('05_Katalog_Servis'!$B$5:$B$14,MATCH($E46,'05_Katalog_Servis'!$A$5:$A$14,0))</f>
        <v/>
      </c>
      <c r="G46" s="30">
        <f>INDEX('05_Katalog_Servis'!$D$5:$D$14,MATCH($E46,'05_Katalog_Servis'!$A$5:$A$14,0))</f>
        <v/>
      </c>
      <c r="H46" s="31">
        <f>SUMPRODUCT(MAX(('06_Riwayat_Beli_Part'!$B$5:$B$17=$C46)*('06_Riwayat_Beli_Part'!$F$5:$F$17=$E46)*'06_Riwayat_Beli_Part'!$E$5:$E$17))</f>
        <v/>
      </c>
      <c r="I46" s="32">
        <f>INDEX('03_Equipment_Unit'!$K$5:$K$20,MATCH($A46,'03_Equipment_Unit'!$A$5:$A$20,0))</f>
        <v/>
      </c>
      <c r="J46" s="29">
        <f>IF($H46=0,"install_date","last_purchase")</f>
        <v/>
      </c>
      <c r="K46" s="33">
        <f>IF($H46=0,$I46,$H46)</f>
        <v/>
      </c>
      <c r="L46" s="33">
        <f>EDATE($K46,$G46)</f>
        <v/>
      </c>
      <c r="M46" s="34">
        <f>IF($L46&lt;'01_Parameter'!$B$5,'01_Parameter'!$B$5-$L46,0)</f>
        <v/>
      </c>
      <c r="N46" s="29">
        <f>IF($L46&lt;'01_Parameter'!$B$5,"overdue",IF($L46&lt;='01_Parameter'!$B$5+'01_Parameter'!$B$6,"due_soon","ok"))</f>
        <v/>
      </c>
      <c r="O46" s="30">
        <f>COUNTIFS('03_Equipment_Unit'!$F$5:$F$20,$C46,'03_Equipment_Unit'!$G$5:$G$20,$D46,'03_Equipment_Unit'!$N$5:$N$20,"active")</f>
        <v/>
      </c>
      <c r="P46" s="29">
        <f>IF($O46&gt;1,"fleet_estimated","unit")</f>
        <v/>
      </c>
      <c r="Q46" s="35">
        <f>IF($O46&gt;1,"Pelanggan memiliki "&amp;$O46&amp;" unit aktif model ini; pembelian tidak dapat ditautkan ke unit tertentu -- sampaikan sebagai perkiraan.","Atribusi pasti: hanya 1 unit aktif dengan model ini.")</f>
        <v/>
      </c>
      <c r="R46" s="30">
        <f>IF(INDEX('05_Katalog_Servis'!$H$5:$H$14,MATCH($E46,'05_Katalog_Servis'!$A$5:$A$14,0))=0,"",INDEX('05_Katalog_Servis'!$H$5:$H$14,MATCH($E46,'05_Katalog_Servis'!$A$5:$A$14,0)))</f>
        <v/>
      </c>
      <c r="S46" s="29">
        <f>IF(INDEX('05_Katalog_Servis'!$H$5:$H$14,MATCH($E46,'05_Katalog_Servis'!$A$5:$A$14,0))=0,"",INDEX('05_Katalog_Servis'!$I$5:$I$14,MATCH($E46,'05_Katalog_Servis'!$A$5:$A$14,0)))</f>
        <v/>
      </c>
      <c r="T46" s="35">
        <f>IF(INDEX('05_Katalog_Servis'!$H$5:$H$14,MATCH($E46,'05_Katalog_Servis'!$A$5:$A$14,0))=0,"",INDEX('05_Katalog_Servis'!$J$5:$J$14,MATCH($E46,'05_Katalog_Servis'!$A$5:$A$14,0)))</f>
        <v/>
      </c>
    </row>
    <row r="48">
      <c r="A48" s="16" t="inlineStr">
        <is>
          <t>IB-4: setiap baris WAJIB membawa basis (kolom J/K) dan attribution (kolom P/Q). Angka jatuh tempo tanpa asal-usul dilarang tampil di UI maupun jawaban asisten.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</row>
    <row r="49">
      <c r="A49" s="18" t="inlineStr">
        <is>
          <t>Kolom H memakai SUMPRODUCT(MAX(...)) untuk mengambil tanggal pembelian TERAKHIR. Bernilai 0 -&gt; ditampilkan 'belum pernah' -&gt; basis jatuh ke install_date.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</row>
    <row r="50">
      <c r="A50" s="18" t="inlineStr">
        <is>
          <t>Kolom O menghitung jumlah unit AKTIF dengan model sama milik entitas komersial yang sama. Lebih dari 1 -&gt; attribution jadi fleet_estimated (D-5).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</row>
    <row r="51">
      <c r="A51" s="18" t="inlineStr">
        <is>
          <t>Baris yang TIDAK ADA di sini juga bagian dari rancangan: unit non-aktif, part tanpa interval, dan kombinasi tanpa basis sama sekali (CR §9.3).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</row>
  </sheetData>
  <autoFilter ref="A4:T46"/>
  <conditionalFormatting sqref="N5:N46">
    <cfRule type="cellIs" priority="1" operator="equal" dxfId="2">
      <formula>"overdue"</formula>
    </cfRule>
    <cfRule type="cellIs" priority="2" operator="equal" dxfId="1">
      <formula>"due_soon"</formula>
    </cfRule>
    <cfRule type="cellIs" priority="3" operator="equal" dxfId="3">
      <formula>"ok"</formula>
    </cfRule>
  </conditionalFormatting>
  <conditionalFormatting sqref="P5:P46">
    <cfRule type="cellIs" priority="4" operator="equal" dxfId="4">
      <formula>"fleet_estimated"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26" customWidth="1" min="4" max="4"/>
    <col width="26" customWidth="1" min="5" max="5"/>
    <col width="12" customWidth="1" min="6" max="6"/>
    <col width="8" customWidth="1" min="7" max="7"/>
    <col width="62" customWidth="1" min="8" max="8"/>
  </cols>
  <sheetData>
    <row r="1">
      <c r="A1" s="1" t="inlineStr">
        <is>
          <t>Kamus Data - Istilah Client ke Field Sistem</t>
        </is>
      </c>
    </row>
    <row r="2">
      <c r="A2" s="2" t="inlineStr">
        <is>
          <t>Cikal bakal dokumen #6 pada CR §20. Mencegah aturan D-3 luntur pelan-pelan.</t>
        </is>
      </c>
    </row>
    <row r="4" ht="30" customHeight="1">
      <c r="A4" s="11" t="inlineStr">
        <is>
          <t>Istilah client</t>
        </is>
      </c>
      <c r="B4" s="11" t="inlineStr">
        <is>
          <t>Entitas</t>
        </is>
      </c>
      <c r="C4" s="11" t="inlineStr">
        <is>
          <t>Field API portal</t>
        </is>
      </c>
      <c r="D4" s="11" t="inlineStr">
        <is>
          <t>Model Odoo</t>
        </is>
      </c>
      <c r="E4" s="11" t="inlineStr">
        <is>
          <t>Field Odoo</t>
        </is>
      </c>
      <c r="F4" s="11" t="inlineStr">
        <is>
          <t>Tipe</t>
        </is>
      </c>
      <c r="G4" s="11" t="inlineStr">
        <is>
          <t>Wajib</t>
        </is>
      </c>
      <c r="H4" s="11" t="inlineStr">
        <is>
          <t>Aturan / Catatan</t>
        </is>
      </c>
    </row>
    <row r="5" ht="28" customHeight="1">
      <c r="A5" s="20" t="inlineStr">
        <is>
          <t>Customer population</t>
        </is>
      </c>
      <c r="B5" s="20" t="inlineStr">
        <is>
          <t>-</t>
        </is>
      </c>
      <c r="C5" s="20" t="inlineStr">
        <is>
          <t>GET /equipment</t>
        </is>
      </c>
      <c r="D5" s="20" t="inlineStr">
        <is>
          <t>maintenance.equipment</t>
        </is>
      </c>
      <c r="E5" s="20" t="inlineStr">
        <is>
          <t>-</t>
        </is>
      </c>
      <c r="F5" s="20" t="inlineStr">
        <is>
          <t>-</t>
        </is>
      </c>
      <c r="G5" s="20" t="inlineStr">
        <is>
          <t>-</t>
        </is>
      </c>
      <c r="H5" s="36" t="inlineStr">
        <is>
          <t>Istilah client. Di kode memakai domain 'equipment' (D-6).</t>
        </is>
      </c>
    </row>
    <row r="6" ht="28" customHeight="1">
      <c r="A6" s="20" t="inlineStr">
        <is>
          <t>Mesin</t>
        </is>
      </c>
      <c r="B6" s="20" t="inlineStr">
        <is>
          <t>EquipmentUnit</t>
        </is>
      </c>
      <c r="C6" s="20" t="inlineStr">
        <is>
          <t>id</t>
        </is>
      </c>
      <c r="D6" s="20" t="inlineStr">
        <is>
          <t>maintenance.equipment</t>
        </is>
      </c>
      <c r="E6" s="20" t="inlineStr">
        <is>
          <t>id</t>
        </is>
      </c>
      <c r="F6" s="20" t="inlineStr">
        <is>
          <t>int</t>
        </is>
      </c>
      <c r="G6" s="20" t="inlineStr">
        <is>
          <t>Ya</t>
        </is>
      </c>
      <c r="H6" s="36" t="inlineStr">
        <is>
          <t>Unit level L1.</t>
        </is>
      </c>
    </row>
    <row r="7" ht="28" customHeight="1">
      <c r="A7" s="20" t="inlineStr">
        <is>
          <t>Nomor seri</t>
        </is>
      </c>
      <c r="B7" s="20" t="inlineStr">
        <is>
          <t>EquipmentUnit</t>
        </is>
      </c>
      <c r="C7" s="20" t="inlineStr">
        <is>
          <t>serial_number</t>
        </is>
      </c>
      <c r="D7" s="20" t="inlineStr">
        <is>
          <t>maintenance.equipment</t>
        </is>
      </c>
      <c r="E7" s="20" t="inlineStr">
        <is>
          <t>serial_no</t>
        </is>
      </c>
      <c r="F7" s="20" t="inlineStr">
        <is>
          <t>string</t>
        </is>
      </c>
      <c r="G7" s="20" t="inlineStr">
        <is>
          <t>Ya</t>
        </is>
      </c>
      <c r="H7" s="36" t="inlineStr">
        <is>
          <t>Kunci identitas di lapangan; dasar backfill dari stock.lot.</t>
        </is>
      </c>
    </row>
    <row r="8" ht="28" customHeight="1">
      <c r="A8" s="20" t="inlineStr">
        <is>
          <t>Pemilik mesin</t>
        </is>
      </c>
      <c r="B8" s="20" t="inlineStr">
        <is>
          <t>EquipmentUnit</t>
        </is>
      </c>
      <c r="C8" s="20" t="inlineStr">
        <is>
          <t>(tidak diekspos)</t>
        </is>
      </c>
      <c r="D8" s="20" t="inlineStr">
        <is>
          <t>maintenance.equipment</t>
        </is>
      </c>
      <c r="E8" s="20" t="inlineStr">
        <is>
          <t>x_studio_customer</t>
        </is>
      </c>
      <c r="F8" s="20" t="inlineStr">
        <is>
          <t>m2o res.partner</t>
        </is>
      </c>
      <c r="G8" s="20" t="inlineStr">
        <is>
          <t>Ya</t>
        </is>
      </c>
      <c r="H8" s="36" t="inlineStr">
        <is>
          <t>JANGAN memakai partner_id bawaan -- itu VENDOR (CR §6.2). Tidak pernah dikirim ke klien (IB-1).</t>
        </is>
      </c>
    </row>
    <row r="9" ht="28" customHeight="1">
      <c r="A9" s="20" t="inlineStr">
        <is>
          <t>Tipe / model mesin</t>
        </is>
      </c>
      <c r="B9" s="20" t="inlineStr">
        <is>
          <t>EquipmentUnit</t>
        </is>
      </c>
      <c r="C9" s="20" t="inlineStr">
        <is>
          <t>model.product_id</t>
        </is>
      </c>
      <c r="D9" s="20" t="inlineStr">
        <is>
          <t>maintenance.equipment</t>
        </is>
      </c>
      <c r="E9" s="20" t="inlineStr">
        <is>
          <t>x_product_id</t>
        </is>
      </c>
      <c r="F9" s="20" t="inlineStr">
        <is>
          <t>m2o product</t>
        </is>
      </c>
      <c r="G9" s="20" t="inlineStr">
        <is>
          <t>Ya</t>
        </is>
      </c>
      <c r="H9" s="36" t="inlineStr">
        <is>
          <t>Kunci join ke katalog servis.</t>
        </is>
      </c>
    </row>
    <row r="10" ht="28" customHeight="1">
      <c r="A10" s="20" t="inlineStr">
        <is>
          <t>Keluarga mesin</t>
        </is>
      </c>
      <c r="B10" s="20" t="inlineStr">
        <is>
          <t>EquipmentUnit</t>
        </is>
      </c>
      <c r="C10" s="20" t="inlineStr">
        <is>
          <t>category.id</t>
        </is>
      </c>
      <c r="D10" s="20" t="inlineStr">
        <is>
          <t>maintenance.equipment</t>
        </is>
      </c>
      <c r="E10" s="20" t="inlineStr">
        <is>
          <t>category_id</t>
        </is>
      </c>
      <c r="F10" s="20" t="inlineStr">
        <is>
          <t>m2o</t>
        </is>
      </c>
      <c r="G10" s="20" t="inlineStr">
        <is>
          <t>Ya</t>
        </is>
      </c>
      <c r="H10" s="36" t="inlineStr">
        <is>
          <t>Jalur kompatibilitas termurah.</t>
        </is>
      </c>
    </row>
    <row r="11" ht="28" customHeight="1">
      <c r="A11" s="20" t="inlineStr">
        <is>
          <t>Tanggal pasang</t>
        </is>
      </c>
      <c r="B11" s="20" t="inlineStr">
        <is>
          <t>EquipmentUnit</t>
        </is>
      </c>
      <c r="C11" s="20" t="inlineStr">
        <is>
          <t>install_date</t>
        </is>
      </c>
      <c r="D11" s="20" t="inlineStr">
        <is>
          <t>maintenance.equipment</t>
        </is>
      </c>
      <c r="E11" s="20" t="inlineStr">
        <is>
          <t>x_install_date</t>
        </is>
      </c>
      <c r="F11" s="20" t="inlineStr">
        <is>
          <t>date</t>
        </is>
      </c>
      <c r="G11" s="20" t="inlineStr">
        <is>
          <t>Ya</t>
        </is>
      </c>
      <c r="H11" s="36" t="inlineStr">
        <is>
          <t>Titik nol interval bila part belum pernah dibeli. Sengaja BUKAN effective_date bawaan (CR §6.3).</t>
        </is>
      </c>
    </row>
    <row r="12" ht="28" customHeight="1">
      <c r="A12" s="20" t="inlineStr">
        <is>
          <t>Lokasi mesin</t>
        </is>
      </c>
      <c r="B12" s="20" t="inlineStr">
        <is>
          <t>EquipmentUnit</t>
        </is>
      </c>
      <c r="C12" s="20" t="inlineStr">
        <is>
          <t>location</t>
        </is>
      </c>
      <c r="D12" s="20" t="inlineStr">
        <is>
          <t>maintenance.equipment</t>
        </is>
      </c>
      <c r="E12" s="20" t="inlineStr">
        <is>
          <t>location</t>
        </is>
      </c>
      <c r="F12" s="20" t="inlineStr">
        <is>
          <t>string</t>
        </is>
      </c>
      <c r="G12" s="20" t="inlineStr">
        <is>
          <t>Tidak</t>
        </is>
      </c>
      <c r="H12" s="36" t="inlineStr">
        <is>
          <t>Site/plant.</t>
        </is>
      </c>
    </row>
    <row r="13" ht="28" customHeight="1">
      <c r="A13" s="20" t="inlineStr">
        <is>
          <t>Status mesin</t>
        </is>
      </c>
      <c r="B13" s="20" t="inlineStr">
        <is>
          <t>EquipmentUnit</t>
        </is>
      </c>
      <c r="C13" s="20" t="inlineStr">
        <is>
          <t>status</t>
        </is>
      </c>
      <c r="D13" s="20" t="inlineStr">
        <is>
          <t>maintenance.equipment</t>
        </is>
      </c>
      <c r="E13" s="20" t="inlineStr">
        <is>
          <t>x_status</t>
        </is>
      </c>
      <c r="F13" s="20" t="inlineStr">
        <is>
          <t>selection</t>
        </is>
      </c>
      <c r="G13" s="20" t="inlineStr">
        <is>
          <t>Ya</t>
        </is>
      </c>
      <c r="H13" s="36" t="inlineStr">
        <is>
          <t>active / idle / decommissioned. Non-active tidak menghasilkan rekomendasi.</t>
        </is>
      </c>
    </row>
    <row r="14" ht="28" customHeight="1">
      <c r="A14" s="20" t="inlineStr">
        <is>
          <t>Jam operasi</t>
        </is>
      </c>
      <c r="B14" s="20" t="inlineStr">
        <is>
          <t>EquipmentUnit</t>
        </is>
      </c>
      <c r="C14" s="20" t="inlineStr">
        <is>
          <t>runtime_hours</t>
        </is>
      </c>
      <c r="D14" s="20" t="inlineStr">
        <is>
          <t>maintenance.equipment</t>
        </is>
      </c>
      <c r="E14" s="20" t="inlineStr">
        <is>
          <t>x_runtime_hours</t>
        </is>
      </c>
      <c r="F14" s="20" t="inlineStr">
        <is>
          <t>float</t>
        </is>
      </c>
      <c r="G14" s="20" t="inlineStr">
        <is>
          <t>Tidak</t>
        </is>
      </c>
      <c r="H14" s="36" t="inlineStr">
        <is>
          <t>Dasar interval berbasis jam. Kosong -&gt; jatuh balik ke interval bulan.</t>
        </is>
      </c>
    </row>
    <row r="15" ht="28" customHeight="1">
      <c r="A15" s="20" t="inlineStr">
        <is>
          <t>Sparepart / satuan terkecil</t>
        </is>
      </c>
      <c r="B15" s="20" t="inlineStr">
        <is>
          <t>Component (L3)</t>
        </is>
      </c>
      <c r="C15" s="20" t="inlineStr">
        <is>
          <t>components[]</t>
        </is>
      </c>
      <c r="D15" s="20" t="inlineStr">
        <is>
          <t>maintenance.equipment</t>
        </is>
      </c>
      <c r="E15" s="20" t="inlineStr">
        <is>
          <t>x_parent_equipment_id</t>
        </is>
      </c>
      <c r="F15" s="20" t="inlineStr">
        <is>
          <t>m2o self</t>
        </is>
      </c>
      <c r="G15" s="20" t="inlineStr">
        <is>
          <t>Tidak</t>
        </is>
      </c>
      <c r="H15" s="36" t="inlineStr">
        <is>
          <t>D-3: hanya masuk bila punya SKU sendiri.</t>
        </is>
      </c>
    </row>
    <row r="16" ht="28" customHeight="1">
      <c r="A16" s="20" t="inlineStr">
        <is>
          <t>Interval penggantian</t>
        </is>
      </c>
      <c r="B16" s="20" t="inlineStr">
        <is>
          <t>ServiceCatalogItem</t>
        </is>
      </c>
      <c r="C16" s="20" t="inlineStr">
        <is>
          <t>interval_months</t>
        </is>
      </c>
      <c r="D16" s="20" t="inlineStr">
        <is>
          <t>product.template</t>
        </is>
      </c>
      <c r="E16" s="20" t="inlineStr">
        <is>
          <t>x_service_interval_months</t>
        </is>
      </c>
      <c r="F16" s="20" t="inlineStr">
        <is>
          <t>int</t>
        </is>
      </c>
      <c r="G16" s="20" t="inlineStr">
        <is>
          <t>Ya*</t>
        </is>
      </c>
      <c r="H16" s="36" t="inlineStr">
        <is>
          <t>*Minimal salah satu dari bulan/jam terisi. MASTER DATA -- tidak bisa diturunkan dari transaksi.</t>
        </is>
      </c>
    </row>
    <row r="17" ht="28" customHeight="1">
      <c r="A17" s="20" t="inlineStr">
        <is>
          <t>Kompatibilitas</t>
        </is>
      </c>
      <c r="B17" s="20" t="inlineStr">
        <is>
          <t>ServiceCatalogItem</t>
        </is>
      </c>
      <c r="C17" s="20" t="inlineStr">
        <is>
          <t>-</t>
        </is>
      </c>
      <c r="D17" s="20" t="inlineStr">
        <is>
          <t>product.template</t>
        </is>
      </c>
      <c r="E17" s="20" t="inlineStr">
        <is>
          <t>x_compatible_category_ids</t>
        </is>
      </c>
      <c r="F17" s="20" t="inlineStr">
        <is>
          <t>m2m</t>
        </is>
      </c>
      <c r="G17" s="20" t="inlineStr">
        <is>
          <t>Ya</t>
        </is>
      </c>
      <c r="H17" s="36" t="inlineStr">
        <is>
          <t>Level kategori (murah). Level produk memakai x_compatible_product_ids.</t>
        </is>
      </c>
    </row>
    <row r="18" ht="28" customHeight="1">
      <c r="A18" s="20" t="inlineStr">
        <is>
          <t>Upgrade sparepart</t>
        </is>
      </c>
      <c r="B18" s="20" t="inlineStr">
        <is>
          <t>ServiceCatalogItem</t>
        </is>
      </c>
      <c r="C18" s="20" t="inlineStr">
        <is>
          <t>upgrade.product_id</t>
        </is>
      </c>
      <c r="D18" s="20" t="inlineStr">
        <is>
          <t>product.template</t>
        </is>
      </c>
      <c r="E18" s="20" t="inlineStr">
        <is>
          <t>x_superseded_by_id</t>
        </is>
      </c>
      <c r="F18" s="20" t="inlineStr">
        <is>
          <t>m2o</t>
        </is>
      </c>
      <c r="G18" s="20" t="inlineStr">
        <is>
          <t>Tidak</t>
        </is>
      </c>
      <c r="H18" s="36" t="inlineStr">
        <is>
          <t>Menjawab benefit #2 client secara langsung.</t>
        </is>
      </c>
    </row>
    <row r="19" ht="28" customHeight="1">
      <c r="A19" s="20" t="inlineStr">
        <is>
          <t>Riwayat beli sparepart</t>
        </is>
      </c>
      <c r="B19" s="20" t="inlineStr">
        <is>
          <t>PurchaseLine</t>
        </is>
      </c>
      <c r="C19" s="20" t="inlineStr">
        <is>
          <t>(internal §9)</t>
        </is>
      </c>
      <c r="D19" s="20" t="inlineStr">
        <is>
          <t>sale.order.line</t>
        </is>
      </c>
      <c r="E19" s="20" t="inlineStr">
        <is>
          <t>order_id.date_order</t>
        </is>
      </c>
      <c r="F19" s="20" t="inlineStr">
        <is>
          <t>date</t>
        </is>
      </c>
      <c r="G19" s="20" t="inlineStr">
        <is>
          <t>Ya</t>
        </is>
      </c>
      <c r="H19" s="36" t="inlineStr">
        <is>
          <t>Sudah tersedia lewat productService.getPurchaseHistory.</t>
        </is>
      </c>
    </row>
    <row r="20" ht="28" customHeight="1">
      <c r="A20" s="20" t="inlineStr">
        <is>
          <t>Jatuh tempo</t>
        </is>
      </c>
      <c r="B20" s="20" t="inlineStr">
        <is>
          <t>Recommendation</t>
        </is>
      </c>
      <c r="C20" s="20" t="inlineStr">
        <is>
          <t>due_date</t>
        </is>
      </c>
      <c r="D20" s="20" t="inlineStr">
        <is>
          <t>-</t>
        </is>
      </c>
      <c r="E20" s="20" t="inlineStr">
        <is>
          <t>(dihitung)</t>
        </is>
      </c>
      <c r="F20" s="20" t="inlineStr">
        <is>
          <t>date</t>
        </is>
      </c>
      <c r="G20" s="20" t="inlineStr">
        <is>
          <t>Ya</t>
        </is>
      </c>
      <c r="H20" s="36" t="inlineStr">
        <is>
          <t>basis_date + interval_months. Tidak disimpan di mana pun.</t>
        </is>
      </c>
    </row>
    <row r="21" ht="28" customHeight="1">
      <c r="A21" s="20" t="inlineStr">
        <is>
          <t>Dasar perhitungan</t>
        </is>
      </c>
      <c r="B21" s="20" t="inlineStr">
        <is>
          <t>Recommendation</t>
        </is>
      </c>
      <c r="C21" s="20" t="inlineStr">
        <is>
          <t>basis</t>
        </is>
      </c>
      <c r="D21" s="20" t="inlineStr">
        <is>
          <t>-</t>
        </is>
      </c>
      <c r="E21" s="20" t="inlineStr">
        <is>
          <t>(dihitung)</t>
        </is>
      </c>
      <c r="F21" s="20" t="inlineStr">
        <is>
          <t>enum</t>
        </is>
      </c>
      <c r="G21" s="20" t="inlineStr">
        <is>
          <t>Ya</t>
        </is>
      </c>
      <c r="H21" s="36" t="inlineStr">
        <is>
          <t>last_purchase | install_date. WAJIB ada (IB-4).</t>
        </is>
      </c>
    </row>
    <row r="22" ht="28" customHeight="1">
      <c r="A22" s="20" t="inlineStr">
        <is>
          <t>Tingkat keyakinan</t>
        </is>
      </c>
      <c r="B22" s="20" t="inlineStr">
        <is>
          <t>Recommendation</t>
        </is>
      </c>
      <c r="C22" s="20" t="inlineStr">
        <is>
          <t>attribution</t>
        </is>
      </c>
      <c r="D22" s="20" t="inlineStr">
        <is>
          <t>-</t>
        </is>
      </c>
      <c r="E22" s="20" t="inlineStr">
        <is>
          <t>(dihitung)</t>
        </is>
      </c>
      <c r="F22" s="20" t="inlineStr">
        <is>
          <t>enum</t>
        </is>
      </c>
      <c r="G22" s="20" t="inlineStr">
        <is>
          <t>Ya</t>
        </is>
      </c>
      <c r="H22" s="36" t="inlineStr">
        <is>
          <t>unit | fleet_estimated. WAJIB ada dan WAJIB tampil di UI (D-5 / IB-4).</t>
        </is>
      </c>
    </row>
  </sheetData>
  <autoFilter ref="A4:H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4" customWidth="1" min="4" max="4"/>
    <col width="78" customWidth="1" min="5" max="5"/>
  </cols>
  <sheetData>
    <row r="1">
      <c r="A1" s="1" t="inlineStr">
        <is>
          <t>Metrik Kualitas Data (CR §19)</t>
        </is>
      </c>
    </row>
    <row r="2">
      <c r="A2" s="2" t="inlineStr">
        <is>
          <t>Dihitung dengan formula dari sheet lain. Inilah sistem peringatan dini fitur ini.</t>
        </is>
      </c>
    </row>
    <row r="4" ht="30" customHeight="1">
      <c r="A4" s="11" t="inlineStr">
        <is>
          <t>Metrik</t>
        </is>
      </c>
      <c r="B4" s="11" t="inlineStr">
        <is>
          <t>Nilai</t>
        </is>
      </c>
      <c r="C4" s="11" t="inlineStr">
        <is>
          <t>Ambang batas</t>
        </is>
      </c>
      <c r="D4" s="11" t="inlineStr">
        <is>
          <t>Status</t>
        </is>
      </c>
      <c r="E4" s="11" t="inlineStr">
        <is>
          <t>Cara hitung</t>
        </is>
      </c>
    </row>
    <row r="5" ht="26" customHeight="1">
      <c r="A5" s="12" t="inlineStr">
        <is>
          <t>Total unit di registry</t>
        </is>
      </c>
      <c r="B5" s="23">
        <f>COUNTA('03_Equipment_Unit'!$A$5:$A$20)</f>
        <v/>
      </c>
      <c r="C5" s="37" t="n"/>
      <c r="D5" s="37" t="n"/>
      <c r="E5" s="36" t="inlineStr">
        <is>
          <t>COUNTA atas equipment_id.</t>
        </is>
      </c>
    </row>
    <row r="6" ht="26" customHeight="1">
      <c r="A6" s="12" t="inlineStr">
        <is>
          <t>Unit aktif</t>
        </is>
      </c>
      <c r="B6" s="23">
        <f>COUNTIF('03_Equipment_Unit'!$N$5:$N$20,"active")</f>
        <v/>
      </c>
      <c r="C6" s="37" t="n"/>
      <c r="D6" s="37" t="n"/>
      <c r="E6" s="36" t="inlineStr">
        <is>
          <t>Hanya unit aktif yang menghasilkan rekomendasi.</t>
        </is>
      </c>
    </row>
    <row r="7" ht="26" customHeight="1">
      <c r="A7" s="12" t="inlineStr">
        <is>
          <t>Unit punya serial</t>
        </is>
      </c>
      <c r="B7" s="23">
        <f>COUNTIF('03_Equipment_Unit'!$C$5:$C$20,"?*")</f>
        <v/>
      </c>
      <c r="C7" s="37" t="n"/>
      <c r="D7" s="37" t="n"/>
      <c r="E7" s="36" t="inlineStr">
        <is>
          <t>Serial kosong = tidak bisa ditautkan ke klaim garansi maupun riwayat servis.</t>
        </is>
      </c>
    </row>
    <row r="8" ht="26" customHeight="1">
      <c r="A8" s="12" t="inlineStr">
        <is>
          <t>Cakupan serial</t>
        </is>
      </c>
      <c r="B8" s="38">
        <f>B7/B5</f>
        <v/>
      </c>
      <c r="C8" s="39" t="n">
        <v>0.9</v>
      </c>
      <c r="D8" s="22">
        <f>IF($B8&gt;=$C8,"LULUS","PERIKSA")</f>
        <v/>
      </c>
      <c r="E8" s="36" t="inlineStr">
        <is>
          <t>Unit punya serial / total unit. Gate Fase 0 CR: di bawah 60% jangan lanjut.</t>
        </is>
      </c>
    </row>
    <row r="9" ht="26" customHeight="1">
      <c r="A9" s="12" t="inlineStr">
        <is>
          <t>Unit punya install_date</t>
        </is>
      </c>
      <c r="B9" s="23">
        <f>COUNT('03_Equipment_Unit'!$K$5:$K$20)</f>
        <v/>
      </c>
      <c r="C9" s="37" t="n"/>
      <c r="D9" s="37" t="n"/>
      <c r="E9" s="36" t="inlineStr">
        <is>
          <t>Tanpa install_date, part yang belum pernah dibeli tidak punya basis.</t>
        </is>
      </c>
    </row>
    <row r="10" ht="26" customHeight="1">
      <c r="A10" s="12" t="inlineStr">
        <is>
          <t>Cakupan tanggal pasang</t>
        </is>
      </c>
      <c r="B10" s="38">
        <f>B9/B5</f>
        <v/>
      </c>
      <c r="C10" s="39" t="n">
        <v>0.85</v>
      </c>
      <c r="D10" s="22">
        <f>IF($B10&gt;=$C10,"LULUS","PERIKSA")</f>
        <v/>
      </c>
      <c r="E10" s="36" t="inlineStr">
        <is>
          <t>Unit punya install_date / total unit.</t>
        </is>
      </c>
    </row>
    <row r="11" ht="26" customHeight="1">
      <c r="A11" s="12" t="inlineStr">
        <is>
          <t>Baris rekomendasi</t>
        </is>
      </c>
      <c r="B11" s="23">
        <f>COUNTA('07_Rekomendasi'!$A$5:$A$46)</f>
        <v/>
      </c>
      <c r="C11" s="37" t="n"/>
      <c r="D11" s="37" t="n"/>
      <c r="E11" s="36" t="inlineStr">
        <is>
          <t>Total baris output mesin §9.</t>
        </is>
      </c>
    </row>
    <row r="12" ht="26" customHeight="1">
      <c r="A12" s="12" t="inlineStr">
        <is>
          <t>Baris overdue</t>
        </is>
      </c>
      <c r="B12" s="23">
        <f>COUNTIF('07_Rekomendasi'!$N$5:$N$46,"overdue")</f>
        <v/>
      </c>
      <c r="C12" s="37" t="n"/>
      <c r="D12" s="37" t="n"/>
      <c r="E12" s="36" t="inlineStr">
        <is>
          <t>Lead paling mendesak untuk sales.</t>
        </is>
      </c>
    </row>
    <row r="13" ht="26" customHeight="1">
      <c r="A13" s="12" t="inlineStr">
        <is>
          <t>Baris due_soon</t>
        </is>
      </c>
      <c r="B13" s="23">
        <f>COUNTIF('07_Rekomendasi'!$N$5:$N$46,"due_soon")</f>
        <v/>
      </c>
      <c r="C13" s="37" t="n"/>
      <c r="D13" s="37" t="n"/>
      <c r="E13" s="36" t="inlineStr">
        <is>
          <t>Lead untuk dijadwalkan.</t>
        </is>
      </c>
    </row>
    <row r="14" ht="26" customHeight="1">
      <c r="A14" s="12" t="inlineStr">
        <is>
          <t>Rasio estimasi armada</t>
        </is>
      </c>
      <c r="B14" s="38">
        <f>COUNTIF('07_Rekomendasi'!$P$5:$P$46,"fleet_estimated")/B11</f>
        <v/>
      </c>
      <c r="C14" s="37" t="n"/>
      <c r="D14" s="37" t="n"/>
      <c r="E14" s="36" t="inlineStr">
        <is>
          <t>Dilaporkan, TIDAK ditarget. Angka tinggi berarti banyak rekomendasi harus disampaikan sebagai perkiraan (D-5).</t>
        </is>
      </c>
    </row>
    <row r="16">
      <c r="A16" s="40" t="inlineStr">
        <is>
          <t>Cakupan katalog servis per model mesin</t>
        </is>
      </c>
    </row>
    <row r="17" ht="30" customHeight="1">
      <c r="A17" s="11" t="inlineStr">
        <is>
          <t>model_product_id</t>
        </is>
      </c>
      <c r="B17" s="11" t="inlineStr">
        <is>
          <t>model_name</t>
        </is>
      </c>
      <c r="C17" s="11" t="inlineStr">
        <is>
          <t>category_id</t>
        </is>
      </c>
      <c r="D17" s="11" t="inlineStr">
        <is>
          <t>Jumlah unit</t>
        </is>
      </c>
      <c r="E17" s="11" t="inlineStr">
        <is>
          <t>Part berinterval</t>
        </is>
      </c>
    </row>
    <row r="18">
      <c r="A18" s="21" t="n">
        <v>880</v>
      </c>
      <c r="B18" s="14" t="inlineStr">
        <is>
          <t>Atlas GA-75</t>
        </is>
      </c>
      <c r="C18" s="21" t="n">
        <v>5</v>
      </c>
      <c r="D18" s="23">
        <f>COUNTIF('03_Equipment_Unit'!$G$5:$G$20,$A18)</f>
        <v/>
      </c>
      <c r="E18" s="23">
        <f>COUNTIFS('05_Katalog_Servis'!$F$5:$F$14,$C18,'05_Katalog_Servis'!$D$5:$D$14,"&gt;0")+COUNTIFS('05_Katalog_Servis'!$G$5:$G$14,$A18,'05_Katalog_Servis'!$D$5:$D$14,"&gt;0")</f>
        <v/>
      </c>
    </row>
    <row r="19">
      <c r="A19" s="21" t="n">
        <v>881</v>
      </c>
      <c r="B19" s="14" t="inlineStr">
        <is>
          <t>Atlas GA-110</t>
        </is>
      </c>
      <c r="C19" s="21" t="n">
        <v>5</v>
      </c>
      <c r="D19" s="23">
        <f>COUNTIF('03_Equipment_Unit'!$G$5:$G$20,$A19)</f>
        <v/>
      </c>
      <c r="E19" s="23">
        <f>COUNTIFS('05_Katalog_Servis'!$F$5:$F$14,$C19,'05_Katalog_Servis'!$D$5:$D$14,"&gt;0")+COUNTIFS('05_Katalog_Servis'!$G$5:$G$14,$A19,'05_Katalog_Servis'!$D$5:$D$14,"&gt;0")</f>
        <v/>
      </c>
    </row>
    <row r="20">
      <c r="A20" s="21" t="n">
        <v>890</v>
      </c>
      <c r="B20" s="14" t="inlineStr">
        <is>
          <t>HPU-30</t>
        </is>
      </c>
      <c r="C20" s="21" t="n">
        <v>7</v>
      </c>
      <c r="D20" s="23">
        <f>COUNTIF('03_Equipment_Unit'!$G$5:$G$20,$A20)</f>
        <v/>
      </c>
      <c r="E20" s="23">
        <f>COUNTIFS('05_Katalog_Servis'!$F$5:$F$14,$C20,'05_Katalog_Servis'!$D$5:$D$14,"&gt;0")+COUNTIFS('05_Katalog_Servis'!$G$5:$G$14,$A20,'05_Katalog_Servis'!$D$5:$D$14,"&gt;0")</f>
        <v/>
      </c>
    </row>
    <row r="21">
      <c r="A21" s="21" t="n">
        <v>895</v>
      </c>
      <c r="B21" s="14" t="inlineStr">
        <is>
          <t>Chiller WC-200</t>
        </is>
      </c>
      <c r="C21" s="21" t="n">
        <v>9</v>
      </c>
      <c r="D21" s="23">
        <f>COUNTIF('03_Equipment_Unit'!$G$5:$G$20,$A21)</f>
        <v/>
      </c>
      <c r="E21" s="23">
        <f>COUNTIFS('05_Katalog_Servis'!$F$5:$F$14,$C21,'05_Katalog_Servis'!$D$5:$D$14,"&gt;0")+COUNTIFS('05_Katalog_Servis'!$G$5:$G$14,$A21,'05_Katalog_Servis'!$D$5:$D$14,"&gt;0")</f>
        <v/>
      </c>
    </row>
    <row r="22">
      <c r="A22" s="21" t="n">
        <v>898</v>
      </c>
      <c r="B22" s="14" t="inlineStr">
        <is>
          <t>Vacuum Pump VP-40</t>
        </is>
      </c>
      <c r="C22" s="21" t="n">
        <v>11</v>
      </c>
      <c r="D22" s="23">
        <f>COUNTIF('03_Equipment_Unit'!$G$5:$G$20,$A22)</f>
        <v/>
      </c>
      <c r="E22" s="23">
        <f>COUNTIFS('05_Katalog_Servis'!$F$5:$F$14,$C22,'05_Katalog_Servis'!$D$5:$D$14,"&gt;0")+COUNTIFS('05_Katalog_Servis'!$G$5:$G$14,$A22,'05_Katalog_Servis'!$D$5:$D$14,"&gt;0")</f>
        <v/>
      </c>
    </row>
    <row r="23">
      <c r="A23" s="12" t="inlineStr">
        <is>
          <t>Cakupan katalog servis</t>
        </is>
      </c>
      <c r="B23" s="38">
        <f>COUNTIF($E$18:$E$22,"&gt;0")/COUNTA($A$18:$A$22)</f>
        <v/>
      </c>
      <c r="C23" s="39" t="n">
        <v>0.7</v>
      </c>
      <c r="D23" s="22">
        <f>IF($B23&gt;=$C23,"LULUS","PERIKSA")</f>
        <v/>
      </c>
      <c r="E23" s="36" t="inlineStr">
        <is>
          <t>Model dengan minimal 1 part berinterval / total model. Di bawah 30%: MATIKAN tampilan rekomendasi (CR §19).</t>
        </is>
      </c>
    </row>
    <row r="25">
      <c r="A25" s="16" t="inlineStr">
        <is>
          <t>Vacuum Pump VP-40 sengaja tidak punya part berinterval -- itulah sebabnya cakupan katalog di bawah 100%.</t>
        </is>
      </c>
      <c r="B25" s="17" t="n"/>
      <c r="C25" s="17" t="n"/>
      <c r="D25" s="17" t="n"/>
      <c r="E25" s="17" t="n"/>
    </row>
    <row r="26">
      <c r="A26" s="18" t="inlineStr">
        <is>
          <t>Di produksi, angka-angka ini dilaporkan bulanan. R-1 (master data tidak pernah terisi) adalah risiko tertinggi di CR, dan baris 'Cakupan katalog servis' adalah alat deteksi dininya.</t>
        </is>
      </c>
      <c r="B26" s="17" t="n"/>
      <c r="C26" s="17" t="n"/>
      <c r="D26" s="17" t="n"/>
      <c r="E26" s="1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A1:K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7" customWidth="1" min="3" max="3"/>
    <col width="17" customWidth="1" min="4" max="4"/>
    <col width="13" customWidth="1" min="5" max="5"/>
    <col width="14" customWidth="1" min="6" max="6"/>
    <col width="14" customWidth="1" min="7" max="7"/>
    <col width="28" customWidth="1" min="8" max="8"/>
    <col width="12" customWidth="1" min="9" max="9"/>
    <col width="14" customWidth="1" min="10" max="10"/>
    <col width="15" customWidth="1" min="11" max="11"/>
  </cols>
  <sheetData>
    <row r="1">
      <c r="A1" s="1" t="inlineStr">
        <is>
          <t>Template Entri / Import Unit</t>
        </is>
      </c>
    </row>
    <row r="2">
      <c r="A2" s="2" t="inlineStr">
        <is>
          <t>Isi mulai baris 6. Baris 5 adalah CONTOH -- hapus sebelum dipakai.</t>
        </is>
      </c>
    </row>
    <row r="4" ht="30" customHeight="1">
      <c r="A4" s="11" t="inlineStr">
        <is>
          <t>serial_number*</t>
        </is>
      </c>
      <c r="B4" s="11" t="inlineStr">
        <is>
          <t>nama_unit*</t>
        </is>
      </c>
      <c r="C4" s="11" t="inlineStr">
        <is>
          <t>owner_partner_id*</t>
        </is>
      </c>
      <c r="D4" s="11" t="inlineStr">
        <is>
          <t>model_product_id*</t>
        </is>
      </c>
      <c r="E4" s="11" t="inlineStr">
        <is>
          <t>category_id*</t>
        </is>
      </c>
      <c r="F4" s="11" t="inlineStr">
        <is>
          <t>install_date*</t>
        </is>
      </c>
      <c r="G4" s="11" t="inlineStr">
        <is>
          <t>warranty_end</t>
        </is>
      </c>
      <c r="H4" s="11" t="inlineStr">
        <is>
          <t>location</t>
        </is>
      </c>
      <c r="I4" s="11" t="inlineStr">
        <is>
          <t>status*</t>
        </is>
      </c>
      <c r="J4" s="11" t="inlineStr">
        <is>
          <t>runtime_hours</t>
        </is>
      </c>
      <c r="K4" s="11" t="inlineStr">
        <is>
          <t>source_order</t>
        </is>
      </c>
    </row>
    <row r="5">
      <c r="A5" s="41" t="inlineStr">
        <is>
          <t>GA75-2026-1001</t>
        </is>
      </c>
      <c r="B5" s="41" t="inlineStr">
        <is>
          <t>Compressor GA-75 #6</t>
        </is>
      </c>
      <c r="C5" s="42" t="n">
        <v>1002</v>
      </c>
      <c r="D5" s="42" t="n">
        <v>880</v>
      </c>
      <c r="E5" s="42" t="n">
        <v>5</v>
      </c>
      <c r="F5" s="43" t="n">
        <v>46037</v>
      </c>
      <c r="G5" s="43" t="n">
        <v>46767</v>
      </c>
      <c r="H5" s="41" t="inlineStr">
        <is>
          <t>Plant Cikarang - Utility C</t>
        </is>
      </c>
      <c r="I5" s="41" t="inlineStr">
        <is>
          <t>active</t>
        </is>
      </c>
      <c r="J5" s="42" t="n">
        <v>0</v>
      </c>
      <c r="K5" s="41" t="inlineStr">
        <is>
          <t>SO2026/0410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</row>
    <row r="28">
      <c r="A28" s="16" t="inlineStr">
        <is>
          <t>ATURAN PENGISIAN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>
      <c r="A29" s="18" t="inlineStr">
        <is>
          <t>Kolom bertanda * wajib. Baris tanpa serial_number tetap boleh masuk, tetapi tandai di kolom location dan hitung ke metrik cakupan serial.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</row>
    <row r="30">
      <c r="A30" s="18" t="inlineStr">
        <is>
          <t>owner_partner_id diisi partner SITE (anak), bukan induk komersial -- lihat sheet 02.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>
      <c r="A31" s="18" t="inlineStr">
        <is>
          <t>status hanya boleh: active / idle / decommissioned.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</row>
    <row r="32">
      <c r="A32" s="18" t="inlineStr">
        <is>
          <t>install_date = tanggal commissioning di site pelanggan, BUKAN tanggal invoice.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>
      <c r="A33" s="18" t="inlineStr">
        <is>
          <t>Jangan menambah komponen tanpa SKU ke template ini (D-3).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I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6" customWidth="1" min="4" max="4"/>
    <col width="15" customWidth="1" min="5" max="5"/>
    <col width="21" customWidth="1" min="6" max="6"/>
    <col width="21" customWidth="1" min="7" max="7"/>
    <col width="17" customWidth="1" min="8" max="8"/>
    <col width="56" customWidth="1" min="9" max="9"/>
  </cols>
  <sheetData>
    <row r="1">
      <c r="A1" s="1" t="inlineStr">
        <is>
          <t>Template Import Katalog Servis</t>
        </is>
      </c>
    </row>
    <row r="2">
      <c r="A2" s="2" t="inlineStr">
        <is>
          <t>Isi mulai baris 6. Baris 5 adalah CONTOH -- hapus sebelum dipakai. Ini master data, bukan data pelanggan.</t>
        </is>
      </c>
    </row>
    <row r="4" ht="30" customHeight="1">
      <c r="A4" s="11" t="inlineStr">
        <is>
          <t>part_product_id*</t>
        </is>
      </c>
      <c r="B4" s="11" t="inlineStr">
        <is>
          <t>part_name*</t>
        </is>
      </c>
      <c r="C4" s="11" t="inlineStr">
        <is>
          <t>is_wear_part*</t>
        </is>
      </c>
      <c r="D4" s="11" t="inlineStr">
        <is>
          <t>interval_months</t>
        </is>
      </c>
      <c r="E4" s="11" t="inlineStr">
        <is>
          <t>interval_hours</t>
        </is>
      </c>
      <c r="F4" s="11" t="inlineStr">
        <is>
          <t>applies_to_category_id</t>
        </is>
      </c>
      <c r="G4" s="11" t="inlineStr">
        <is>
          <t>applies_to_product_id</t>
        </is>
      </c>
      <c r="H4" s="11" t="inlineStr">
        <is>
          <t>superseded_by_id</t>
        </is>
      </c>
      <c r="I4" s="11" t="inlineStr">
        <is>
          <t>supersession_note</t>
        </is>
      </c>
    </row>
    <row r="5">
      <c r="A5" s="42" t="n">
        <v>1195</v>
      </c>
      <c r="B5" s="41" t="inlineStr">
        <is>
          <t>Intake Valve Kit IV-75</t>
        </is>
      </c>
      <c r="C5" s="41" t="inlineStr">
        <is>
          <t>TRUE</t>
        </is>
      </c>
      <c r="D5" s="42" t="n">
        <v>24</v>
      </c>
      <c r="E5" s="42" t="n">
        <v>8000</v>
      </c>
      <c r="F5" s="42" t="n">
        <v>5</v>
      </c>
      <c r="G5" s="42" t="n"/>
      <c r="H5" s="42" t="n"/>
      <c r="I5" s="41" t="n"/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</row>
    <row r="28">
      <c r="A28" s="16" t="inlineStr">
        <is>
          <t>ATURAN PENGISIAN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8" t="inlineStr">
        <is>
          <t>Minimal salah satu dari interval_months / interval_hours harus terisi, KECUALI is_wear_part = FALSE.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8" t="inlineStr">
        <is>
          <t>Isi applies_to_category_id (murah, mencakup satu keluarga mesin) lebih dulu; pakai applies_to_product_id hanya bila part benar-benar spesifik satu model.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8" t="inlineStr">
        <is>
          <t>superseded_by_id diisi hanya bila part lama masih dijual dan penggantinya benar-benar drop-in.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</row>
    <row r="32">
      <c r="A32" s="18" t="inlineStr">
        <is>
          <t>supersession_note adalah kalimat yang akan dibaca sales ke pelanggan -- tulis manfaatnya, bukan kode teknis.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</row>
    <row r="33">
      <c r="A33" s="18" t="inlineStr">
        <is>
          <t>PEMILIK DATA: Product Management (CR Q-5). Review kuartalan. Tanpa pemilik bernama, seluruh fitur rekomendasi membusuk dalam 6 bulan.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2026-08-30T05:44:32Z</dcterms:created>
  <dcterms:modified xmlns:dcterms="http://purl.org/dc/terms/" xmlns:xsi="http://www.w3.org/2001/XMLSchema-instance" xsi:type="dcterms:W3CDTF">2026-08-30T05:44:32Z</dcterms:modified>
</cp:coreProperties>
</file>